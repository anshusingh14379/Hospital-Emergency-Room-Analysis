
<file path=[Content_Types].xml><?xml version="1.0" encoding="utf-8"?>
<Types xmlns="http://schemas.openxmlformats.org/package/2006/content-types">
  <Default Extension="data" ContentType="application/vnd.openxmlformats-officedocument.model+data"/>
  <Default Extension="emf" ContentType="image/x-emf"/>
  <Default Extension="jpeg" ContentType="image/jpeg"/>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drawings/drawing2.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1.xml" ContentType="application/vnd.ms-office.chartstyle+xml"/>
  <Override PartName="/xl/charts/colors1.xml" ContentType="application/vnd.ms-office.chartcolorstyle+xml"/>
  <Override PartName="/xl/charts/chart3.xml" ContentType="application/vnd.openxmlformats-officedocument.drawingml.chart+xml"/>
  <Override PartName="/xl/charts/style2.xml" ContentType="application/vnd.ms-office.chartstyle+xml"/>
  <Override PartName="/xl/charts/colors2.xml" ContentType="application/vnd.ms-office.chartcolorstyle+xml"/>
  <Override PartName="/xl/charts/chart4.xml" ContentType="application/vnd.openxmlformats-officedocument.drawingml.chart+xml"/>
  <Override PartName="/xl/charts/style3.xml" ContentType="application/vnd.ms-office.chartstyle+xml"/>
  <Override PartName="/xl/charts/colors3.xml" ContentType="application/vnd.ms-office.chartcolorstyle+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charts/chart6.xml" ContentType="application/vnd.openxmlformats-officedocument.drawingml.chart+xml"/>
  <Override PartName="/xl/charts/style5.xml" ContentType="application/vnd.ms-office.chartstyle+xml"/>
  <Override PartName="/xl/charts/colors5.xml" ContentType="application/vnd.ms-office.chartcolorstyle+xml"/>
  <Override PartName="/xl/charts/chart7.xml" ContentType="application/vnd.openxmlformats-officedocument.drawingml.chart+xml"/>
  <Override PartName="/xl/charts/style6.xml" ContentType="application/vnd.ms-office.chartstyle+xml"/>
  <Override PartName="/xl/charts/colors6.xml" ContentType="application/vnd.ms-office.chartcolorstyle+xml"/>
  <Override PartName="/xl/charts/chart8.xml" ContentType="application/vnd.openxmlformats-officedocument.drawingml.chart+xml"/>
  <Override PartName="/xl/drawings/drawing3.xml" ContentType="application/vnd.openxmlformats-officedocument.drawing+xml"/>
  <Override PartName="/xl/charts/chart9.xml" ContentType="application/vnd.openxmlformats-officedocument.drawingml.chart+xml"/>
  <Override PartName="/xl/charts/style7.xml" ContentType="application/vnd.ms-office.chartstyle+xml"/>
  <Override PartName="/xl/charts/colors7.xml" ContentType="application/vnd.ms-office.chartcolorstyle+xml"/>
  <Override PartName="/xl/drawings/drawing4.xml" ContentType="application/vnd.openxmlformats-officedocument.drawing+xml"/>
  <Override PartName="/xl/charts/chart10.xml" ContentType="application/vnd.openxmlformats-officedocument.drawingml.chart+xml"/>
  <Override PartName="/xl/charts/style8.xml" ContentType="application/vnd.ms-office.chartstyle+xml"/>
  <Override PartName="/xl/charts/colors8.xml" ContentType="application/vnd.ms-office.chartcolorstyle+xml"/>
  <Override PartName="/xl/drawings/drawing5.xml" ContentType="application/vnd.openxmlformats-officedocument.drawing+xml"/>
  <Override PartName="/xl/charts/chart11.xml" ContentType="application/vnd.openxmlformats-officedocument.drawingml.chart+xml"/>
  <Override PartName="/xl/charts/style9.xml" ContentType="application/vnd.ms-office.chartstyle+xml"/>
  <Override PartName="/xl/charts/colors9.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hidePivotFieldList="1" defaultThemeVersion="166925"/>
  <mc:AlternateContent xmlns:mc="http://schemas.openxmlformats.org/markup-compatibility/2006">
    <mc:Choice Requires="x15">
      <x15ac:absPath xmlns:x15ac="http://schemas.microsoft.com/office/spreadsheetml/2010/11/ac" url="D:\"/>
    </mc:Choice>
  </mc:AlternateContent>
  <xr:revisionPtr revIDLastSave="0" documentId="13_ncr:1_{CE2D36E6-C431-496C-A31F-DBF5CD58EB2F}" xr6:coauthVersionLast="47" xr6:coauthVersionMax="47" xr10:uidLastSave="{00000000-0000-0000-0000-000000000000}"/>
  <bookViews>
    <workbookView xWindow="-108" yWindow="-108" windowWidth="23256" windowHeight="13176" activeTab="1" xr2:uid="{D75B1D3A-4C86-44CE-8D6A-69D491B093B0}"/>
  </bookViews>
  <sheets>
    <sheet name="Pivot Report" sheetId="1" r:id="rId1"/>
    <sheet name="Dashboard" sheetId="2" r:id="rId2"/>
    <sheet name="Day ER No. of Patient" sheetId="3" r:id="rId3"/>
    <sheet name="Avg Wait Time" sheetId="4" r:id="rId4"/>
    <sheet name="Satisfaction Score" sheetId="5" r:id="rId5"/>
  </sheets>
  <definedNames>
    <definedName name="Slicer_Date__Month">#N/A</definedName>
    <definedName name="Slicer_Date__Year">#N/A</definedName>
  </definedNames>
  <calcPr calcId="191029"/>
  <pivotCaches>
    <pivotCache cacheId="303" r:id="rId6"/>
    <pivotCache cacheId="306" r:id="rId7"/>
    <pivotCache cacheId="309" r:id="rId8"/>
    <pivotCache cacheId="312" r:id="rId9"/>
    <pivotCache cacheId="315" r:id="rId10"/>
    <pivotCache cacheId="318" r:id="rId11"/>
    <pivotCache cacheId="321" r:id="rId12"/>
    <pivotCache cacheId="324" r:id="rId13"/>
    <pivotCache cacheId="327" r:id="rId14"/>
    <pivotCache cacheId="330" r:id="rId15"/>
    <pivotCache cacheId="333" r:id="rId16"/>
    <pivotCache cacheId="336" r:id="rId17"/>
  </pivotCaches>
  <extLst>
    <ext xmlns:x14="http://schemas.microsoft.com/office/spreadsheetml/2009/9/main" uri="{876F7934-8845-4945-9796-88D515C7AA90}">
      <x14:pivotCaches>
        <pivotCache cacheId="12" r:id="rId18"/>
      </x14:pivotCaches>
    </ext>
    <ext xmlns:x14="http://schemas.microsoft.com/office/spreadsheetml/2009/9/main" uri="{BBE1A952-AA13-448e-AADC-164F8A28A991}">
      <x14:slicerCaches>
        <x14:slicerCache r:id="rId19"/>
        <x14:slicerCache r:id="rId2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Hospital Emergency Room Data_d21b031a-6040-4906-a108-d0b221e96393" name="Hospital Emergency Room Data" connection="Query - Hospital Emergency Room Data"/>
          <x15:modelTable id="Calendar_Table_a0f2b4f9-25b4-4857-b5c4-daa6021e0193" name="Calendar_Table" connection="Query - Calendar_Table"/>
        </x15:modelTables>
        <x15:modelRelationships>
          <x15:modelRelationship fromTable="Hospital Emergency Room Data" fromColumn="Patient Admission Date" toTable="Calendar_Table" toColumn="Date"/>
        </x15:modelRelationships>
        <x15:extLst>
          <ext xmlns:x16="http://schemas.microsoft.com/office/spreadsheetml/2014/11/main" uri="{9835A34E-60A6-4A7C-AAB8-D5F71C897F49}">
            <x16:modelTimeGroupings>
              <x16:modelTimeGrouping tableName="Calendar_Table" columnName="Date" columnId="Date">
                <x16:calculatedTimeColumn columnName="Date (Year)" columnId="Date (Year)" contentType="years" isSelected="1"/>
                <x16:calculatedTimeColumn columnName="Date (Quarter)" columnId="Date (Quarter)" contentType="quarters" isSelected="1"/>
                <x16:calculatedTimeColumn columnName="Date (Month Index)" columnId="Date (Month Index)" contentType="monthsindex" isSelected="1"/>
                <x16:calculatedTimeColumn columnName="Date (Month)" columnId="Date (Month)" contentType="months" isSelected="1"/>
                <x16:calculatedTimeColumn columnName="Date (Day Index)" columnId="Date (Day Index)" contentType="daysindex" isSelected="0"/>
                <x16:calculatedTimeColumn columnName="Date (Day)" columnId="Date (Day)" contentType="days" isSelected="0"/>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49" i="1" l="1"/>
  <c r="C49" i="1"/>
  <c r="A49" i="1"/>
  <c r="B48" i="1"/>
  <c r="C48" i="1"/>
  <c r="A48"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41D216F9-5170-4AE8-9262-6A30BB8FD26B}" name="Query - Calendar_Table" description="Connection to the 'Calendar_Table' query in the workbook." type="100" refreshedVersion="8" minRefreshableVersion="5">
    <extLst>
      <ext xmlns:x15="http://schemas.microsoft.com/office/spreadsheetml/2010/11/main" uri="{DE250136-89BD-433C-8126-D09CA5730AF9}">
        <x15:connection id="6bf3c4ac-7fab-4d25-b145-ea1578a54539"/>
      </ext>
    </extLst>
  </connection>
  <connection id="2" xr16:uid="{92AA7139-9851-49BC-933A-70CF18A1AE62}" name="Query - Hospital Emergency Room Data" description="Connection to the 'Hospital Emergency Room Data' query in the workbook." type="100" refreshedVersion="8" minRefreshableVersion="5">
    <extLst>
      <ext xmlns:x15="http://schemas.microsoft.com/office/spreadsheetml/2010/11/main" uri="{DE250136-89BD-433C-8126-D09CA5730AF9}">
        <x15:connection id="81978fed-9e0f-4877-9d29-f1af67319090"/>
      </ext>
    </extLst>
  </connection>
  <connection id="3" xr16:uid="{42291BFE-647A-4BD1-9CFF-AC56CB38C165}"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<sst xmlns="http://schemas.openxmlformats.org/spreadsheetml/2006/main" count="146" uniqueCount="70">
  <si>
    <t>Count of Patient Id</t>
  </si>
  <si>
    <t>Average of Patient Waittime</t>
  </si>
  <si>
    <t>Average of Patient Satisfaction Score</t>
  </si>
  <si>
    <t>Grand Total</t>
  </si>
  <si>
    <t>Row Labels</t>
  </si>
  <si>
    <t>Count of Patient Attendence Status</t>
  </si>
  <si>
    <t>Count of Patient Admission Flag</t>
  </si>
  <si>
    <t>Admitted</t>
  </si>
  <si>
    <t>Not Admitted</t>
  </si>
  <si>
    <t>Attendence Status</t>
  </si>
  <si>
    <t>No. of Patient</t>
  </si>
  <si>
    <t>% Status</t>
  </si>
  <si>
    <t>0-09</t>
  </si>
  <si>
    <t>10-19</t>
  </si>
  <si>
    <t>20-29</t>
  </si>
  <si>
    <t>30-39</t>
  </si>
  <si>
    <t>40-49</t>
  </si>
  <si>
    <t>50-59</t>
  </si>
  <si>
    <t>60-69</t>
  </si>
  <si>
    <t>70-79</t>
  </si>
  <si>
    <t>Count of Age Group</t>
  </si>
  <si>
    <t>Patient Admission Flag in %</t>
  </si>
  <si>
    <t>No. of Patient by Age Group</t>
  </si>
  <si>
    <t>Delay</t>
  </si>
  <si>
    <t>Ontime</t>
  </si>
  <si>
    <t>Patient Attendend Status</t>
  </si>
  <si>
    <t>Female</t>
  </si>
  <si>
    <t>Male</t>
  </si>
  <si>
    <t>Count of Patient Gender</t>
  </si>
  <si>
    <t>No. of Patient by Gender</t>
  </si>
  <si>
    <t>Department Referral</t>
  </si>
  <si>
    <t>Cardiology</t>
  </si>
  <si>
    <t>Gastroenterology</t>
  </si>
  <si>
    <t>General Practice</t>
  </si>
  <si>
    <t>Neurology</t>
  </si>
  <si>
    <t>None</t>
  </si>
  <si>
    <t>Orthopedics</t>
  </si>
  <si>
    <t>Physiotherapy</t>
  </si>
  <si>
    <t>Renal</t>
  </si>
  <si>
    <t>Count of Department Referral</t>
  </si>
  <si>
    <t>2024</t>
  </si>
  <si>
    <t>1-Feb</t>
  </si>
  <si>
    <t>2-Feb</t>
  </si>
  <si>
    <t>3-Feb</t>
  </si>
  <si>
    <t>4-Feb</t>
  </si>
  <si>
    <t>5-Feb</t>
  </si>
  <si>
    <t>6-Feb</t>
  </si>
  <si>
    <t>7-Feb</t>
  </si>
  <si>
    <t>8-Feb</t>
  </si>
  <si>
    <t>9-Feb</t>
  </si>
  <si>
    <t>10-Feb</t>
  </si>
  <si>
    <t>11-Feb</t>
  </si>
  <si>
    <t>12-Feb</t>
  </si>
  <si>
    <t>13-Feb</t>
  </si>
  <si>
    <t>14-Feb</t>
  </si>
  <si>
    <t>15-Feb</t>
  </si>
  <si>
    <t>16-Feb</t>
  </si>
  <si>
    <t>17-Feb</t>
  </si>
  <si>
    <t>18-Feb</t>
  </si>
  <si>
    <t>19-Feb</t>
  </si>
  <si>
    <t>20-Feb</t>
  </si>
  <si>
    <t>21-Feb</t>
  </si>
  <si>
    <t>22-Feb</t>
  </si>
  <si>
    <t>23-Feb</t>
  </si>
  <si>
    <t>24-Feb</t>
  </si>
  <si>
    <t>25-Feb</t>
  </si>
  <si>
    <t>26-Feb</t>
  </si>
  <si>
    <t>27-Feb</t>
  </si>
  <si>
    <t>28-Feb</t>
  </si>
  <si>
    <t>29-Feb</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</si>
</sst>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3" x14ac:knownFonts="1">
    <font>
      <sz val="11"/>
      <color theme="1"/>
      <name val="Calibri"/>
      <family val="2"/>
      <scheme val="minor"/>
    </font>
    <font>
      <sz val="11"/>
      <color theme="1"/>
      <name val="Calibri"/>
      <family val="2"/>
      <scheme val="minor"/>
    </font>
    <font>
      <sz val="11"/>
      <color theme="0"/>
      <name val="Calibri"/>
      <family val="2"/>
      <scheme val="minor"/>
    </font>
  </fonts>
  <fills count="4">
    <fill>
      <patternFill patternType="none"/>
    </fill>
    <fill>
      <patternFill patternType="gray125"/>
    </fill>
    <fill>
      <patternFill patternType="solid">
        <fgColor theme="1" tint="0.34998626667073579"/>
        <bgColor indexed="64"/>
      </patternFill>
    </fill>
    <fill>
      <patternFill patternType="solid">
        <fgColor theme="4"/>
        <bgColor indexed="64"/>
      </patternFill>
    </fill>
  </fills>
  <borders count="1">
    <border>
      <left/>
      <right/>
      <top/>
      <bottom/>
      <diagonal/>
    </border>
  </borders>
  <cellStyleXfs count="2">
    <xf numFmtId="0" fontId="0" fillId="0" borderId="0"/>
    <xf numFmtId="9" fontId="1" fillId="0" borderId="0" applyFont="0" applyFill="0" applyBorder="0" applyAlignment="0" applyProtection="0"/>
  </cellStyleXfs>
  <cellXfs count="10">
    <xf numFmtId="0" fontId="0" fillId="0" borderId="0" xfId="0"/>
    <xf numFmtId="0" fontId="0" fillId="0" borderId="0" xfId="0" pivotButton="1"/>
    <xf numFmtId="2" fontId="0" fillId="0" borderId="0" xfId="0" applyNumberFormat="1"/>
    <xf numFmtId="0" fontId="0" fillId="2" borderId="0" xfId="0" applyFill="1"/>
    <xf numFmtId="0" fontId="0" fillId="0" borderId="0" xfId="0" applyAlignment="1">
      <alignment horizontal="left"/>
    </xf>
    <xf numFmtId="10" fontId="0" fillId="0" borderId="0" xfId="0" applyNumberFormat="1"/>
    <xf numFmtId="10" fontId="0" fillId="0" borderId="0" xfId="1" applyNumberFormat="1" applyFont="1"/>
    <xf numFmtId="0" fontId="2" fillId="3" borderId="0" xfId="0" applyFont="1" applyFill="1"/>
    <xf numFmtId="0" fontId="2" fillId="3" borderId="0" xfId="0" applyFont="1" applyFill="1" applyAlignment="1">
      <alignment horizontal="right"/>
    </xf>
    <xf numFmtId="0" fontId="0" fillId="0" borderId="0" xfId="0" applyNumberFormat="1"/>
  </cellXfs>
  <cellStyles count="2">
    <cellStyle name="Normal" xfId="0" builtinId="0"/>
    <cellStyle name="Percent" xfId="1" builtinId="5"/>
  </cellStyles>
  <dxfs count="82">
    <dxf>
      <numFmt numFmtId="2" formatCode="0.00"/>
    </dxf>
    <dxf>
      <numFmt numFmtId="14"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4"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4"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4"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4"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4"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4"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4"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4"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4" formatCode="0.00%"/>
    </dxf>
    <dxf>
      <numFmt numFmtId="2" formatCode="0.00"/>
    </dxf>
    <dxf>
      <numFmt numFmtId="2" formatCode="0.00"/>
    </dxf>
    <dxf>
      <font>
        <b/>
        <color theme="1"/>
      </font>
      <border>
        <bottom style="thin">
          <color theme="5"/>
        </bottom>
        <vertical/>
        <horizontal/>
      </border>
    </dxf>
    <dxf>
      <font>
        <b/>
        <i val="0"/>
        <sz val="12"/>
        <color theme="1"/>
      </font>
      <fill>
        <patternFill patternType="none">
          <bgColor auto="1"/>
        </patternFill>
      </fill>
      <border diagonalUp="0" diagonalDown="0">
        <left/>
        <right/>
        <top/>
        <bottom/>
        <vertical/>
        <horizontal/>
      </border>
    </dxf>
  </dxfs>
  <tableStyles count="1" defaultTableStyle="TableStyleMedium2" defaultPivotStyle="PivotStyleLight16">
    <tableStyle name="SlicerStyleDark2 2" pivot="0" table="0" count="10" xr9:uid="{A4B72F2A-2B17-4A0E-99AD-7721F73E4303}">
      <tableStyleElement type="wholeTable" dxfId="81"/>
      <tableStyleElement type="headerRow" dxfId="80"/>
    </tableStyle>
  </tableStyle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5" tint="-0.249977111117893"/>
          </font>
          <fill>
            <patternFill patternType="solid">
              <fgColor theme="5" tint="0.59999389629810485"/>
              <bgColor theme="5" tint="0.59999389629810485"/>
            </patternFill>
          </fill>
          <border>
            <left style="thin">
              <color theme="5" tint="0.59999389629810485"/>
            </left>
            <right style="thin">
              <color theme="5" tint="0.59999389629810485"/>
            </right>
            <top style="thin">
              <color theme="5" tint="0.59999389629810485"/>
            </top>
            <bottom style="thin">
              <color theme="5" tint="0.59999389629810485"/>
            </bottom>
            <vertical/>
            <horizontal/>
          </border>
        </dxf>
        <dxf>
          <font>
            <color theme="0"/>
          </font>
          <fill>
            <patternFill patternType="solid">
              <fgColor theme="5"/>
              <bgColor theme="5"/>
            </patternFill>
          </fill>
          <border>
            <left style="thin">
              <color theme="5"/>
            </left>
            <right style="thin">
              <color theme="5"/>
            </right>
            <top style="thin">
              <color theme="5"/>
            </top>
            <bottom style="thin">
              <color theme="5"/>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x14:dxfs>
    </ext>
    <ext xmlns:x14="http://schemas.microsoft.com/office/spreadsheetml/2009/9/main" uri="{EB79DEF2-80B8-43e5-95BD-54CBDDF9020C}">
      <x14:slicerStyles defaultSlicerStyle="SlicerStyleLight1">
        <x14:slicerStyle name="SlicerStyleDark2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8.xml"/><Relationship Id="rId18" Type="http://schemas.openxmlformats.org/officeDocument/2006/relationships/pivotCacheDefinition" Target="pivotCache/pivotCacheDefinition13.xml"/><Relationship Id="rId26" Type="http://schemas.openxmlformats.org/officeDocument/2006/relationships/calcChain" Target="calcChain.xml"/><Relationship Id="rId39" Type="http://schemas.openxmlformats.org/officeDocument/2006/relationships/customXml" Target="../customXml/item13.xml"/><Relationship Id="rId21" Type="http://schemas.openxmlformats.org/officeDocument/2006/relationships/theme" Target="theme/theme1.xml"/><Relationship Id="rId34" Type="http://schemas.openxmlformats.org/officeDocument/2006/relationships/customXml" Target="../customXml/item8.xml"/><Relationship Id="rId42" Type="http://schemas.openxmlformats.org/officeDocument/2006/relationships/customXml" Target="../customXml/item16.xml"/><Relationship Id="rId7" Type="http://schemas.openxmlformats.org/officeDocument/2006/relationships/pivotCacheDefinition" Target="pivotCache/pivotCacheDefinition2.xml"/><Relationship Id="rId2" Type="http://schemas.openxmlformats.org/officeDocument/2006/relationships/worksheet" Target="worksheets/sheet2.xml"/><Relationship Id="rId16" Type="http://schemas.openxmlformats.org/officeDocument/2006/relationships/pivotCacheDefinition" Target="pivotCache/pivotCacheDefinition11.xml"/><Relationship Id="rId20" Type="http://schemas.microsoft.com/office/2007/relationships/slicerCache" Target="slicerCaches/slicerCache2.xml"/><Relationship Id="rId29" Type="http://schemas.openxmlformats.org/officeDocument/2006/relationships/customXml" Target="../customXml/item3.xml"/><Relationship Id="rId41" Type="http://schemas.openxmlformats.org/officeDocument/2006/relationships/customXml" Target="../customXml/item15.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pivotCacheDefinition" Target="pivotCache/pivotCacheDefinition6.xml"/><Relationship Id="rId24" Type="http://schemas.openxmlformats.org/officeDocument/2006/relationships/sharedStrings" Target="sharedStrings.xml"/><Relationship Id="rId32" Type="http://schemas.openxmlformats.org/officeDocument/2006/relationships/customXml" Target="../customXml/item6.xml"/><Relationship Id="rId37" Type="http://schemas.openxmlformats.org/officeDocument/2006/relationships/customXml" Target="../customXml/item11.xml"/><Relationship Id="rId40" Type="http://schemas.openxmlformats.org/officeDocument/2006/relationships/customXml" Target="../customXml/item14.xml"/><Relationship Id="rId5" Type="http://schemas.openxmlformats.org/officeDocument/2006/relationships/worksheet" Target="worksheets/sheet5.xml"/><Relationship Id="rId15" Type="http://schemas.openxmlformats.org/officeDocument/2006/relationships/pivotCacheDefinition" Target="pivotCache/pivotCacheDefinition10.xml"/><Relationship Id="rId23" Type="http://schemas.openxmlformats.org/officeDocument/2006/relationships/styles" Target="styles.xml"/><Relationship Id="rId28" Type="http://schemas.openxmlformats.org/officeDocument/2006/relationships/customXml" Target="../customXml/item2.xml"/><Relationship Id="rId36" Type="http://schemas.openxmlformats.org/officeDocument/2006/relationships/customXml" Target="../customXml/item10.xml"/><Relationship Id="rId10" Type="http://schemas.openxmlformats.org/officeDocument/2006/relationships/pivotCacheDefinition" Target="pivotCache/pivotCacheDefinition5.xml"/><Relationship Id="rId19" Type="http://schemas.microsoft.com/office/2007/relationships/slicerCache" Target="slicerCaches/slicerCache1.xml"/><Relationship Id="rId31" Type="http://schemas.openxmlformats.org/officeDocument/2006/relationships/customXml" Target="../customXml/item5.xml"/><Relationship Id="rId4" Type="http://schemas.openxmlformats.org/officeDocument/2006/relationships/worksheet" Target="worksheets/sheet4.xml"/><Relationship Id="rId9" Type="http://schemas.openxmlformats.org/officeDocument/2006/relationships/pivotCacheDefinition" Target="pivotCache/pivotCacheDefinition4.xml"/><Relationship Id="rId14" Type="http://schemas.openxmlformats.org/officeDocument/2006/relationships/pivotCacheDefinition" Target="pivotCache/pivotCacheDefinition9.xml"/><Relationship Id="rId22" Type="http://schemas.openxmlformats.org/officeDocument/2006/relationships/connections" Target="connections.xml"/><Relationship Id="rId27" Type="http://schemas.openxmlformats.org/officeDocument/2006/relationships/customXml" Target="../customXml/item1.xml"/><Relationship Id="rId30" Type="http://schemas.openxmlformats.org/officeDocument/2006/relationships/customXml" Target="../customXml/item4.xml"/><Relationship Id="rId35" Type="http://schemas.openxmlformats.org/officeDocument/2006/relationships/customXml" Target="../customXml/item9.xml"/><Relationship Id="rId43" Type="http://schemas.openxmlformats.org/officeDocument/2006/relationships/customXml" Target="../customXml/item17.xml"/><Relationship Id="rId8" Type="http://schemas.openxmlformats.org/officeDocument/2006/relationships/pivotCacheDefinition" Target="pivotCache/pivotCacheDefinition3.xml"/><Relationship Id="rId3" Type="http://schemas.openxmlformats.org/officeDocument/2006/relationships/worksheet" Target="worksheets/sheet3.xml"/><Relationship Id="rId12" Type="http://schemas.openxmlformats.org/officeDocument/2006/relationships/pivotCacheDefinition" Target="pivotCache/pivotCacheDefinition7.xml"/><Relationship Id="rId17" Type="http://schemas.openxmlformats.org/officeDocument/2006/relationships/pivotCacheDefinition" Target="pivotCache/pivotCacheDefinition12.xml"/><Relationship Id="rId25" Type="http://schemas.openxmlformats.org/officeDocument/2006/relationships/powerPivotData" Target="model/item.data"/><Relationship Id="rId33" Type="http://schemas.openxmlformats.org/officeDocument/2006/relationships/customXml" Target="../customXml/item7.xml"/><Relationship Id="rId38" Type="http://schemas.openxmlformats.org/officeDocument/2006/relationships/customXml" Target="../customXml/item12.xml"/></Relationships>
</file>

<file path=xl/charts/_rels/chart2.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3.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7.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9.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10.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11.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Dashboard.xlsx]Pivot Report!PivotTable7</c:name>
    <c:fmtId val="0"/>
  </c:pivotSource>
  <c:chart>
    <c:autoTitleDeleted val="0"/>
    <c:pivotFmts>
      <c:pivotFmt>
        <c:idx val="0"/>
        <c:spPr>
          <a:solidFill>
            <a:schemeClr val="accent1"/>
          </a:solidFill>
          <a:ln>
            <a:noFill/>
          </a:ln>
          <a:effectLst>
            <a:glow>
              <a:schemeClr val="accent1">
                <a:alpha val="40000"/>
              </a:schemeClr>
            </a:glow>
            <a:softEdge rad="0"/>
          </a:effectLst>
        </c:spPr>
        <c:marker>
          <c:symbol val="none"/>
        </c:marker>
        <c:dLbl>
          <c:idx val="0"/>
          <c:spPr>
            <a:noFill/>
            <a:ln>
              <a:noFill/>
            </a:ln>
            <a:effectLst/>
          </c:spPr>
          <c:txPr>
            <a:bodyPr rot="0" spcFirstLastPara="1" vertOverflow="ellipsis" vert="horz" wrap="non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15:showDataLabelsRange val="1"/>
            </c:ext>
          </c:extLst>
        </c:dLbl>
      </c:pivotFmt>
      <c:pivotFmt>
        <c:idx val="1"/>
        <c:spPr>
          <a:solidFill>
            <a:schemeClr val="accent2"/>
          </a:solidFill>
          <a:ln>
            <a:no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a:noFill/>
          </a:ln>
          <a:effectLst>
            <a:glow>
              <a:schemeClr val="accent1">
                <a:alpha val="40000"/>
              </a:schemeClr>
            </a:glow>
            <a:softEdge rad="0"/>
          </a:effectLst>
        </c:spPr>
        <c:dLbl>
          <c:idx val="0"/>
          <c:tx>
            <c:rich>
              <a:bodyPr rot="0" spcFirstLastPara="1" vertOverflow="ellipsis" vert="horz" wrap="non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2012B382-0205-45D4-9DA3-5C2A45F3E47E}"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en-IN"/>
              </a:p>
            </c:rich>
          </c:tx>
          <c:spPr>
            <a:noFill/>
            <a:ln>
              <a:noFill/>
            </a:ln>
            <a:effectLst/>
          </c:spP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15:dlblFieldTable/>
              <c15:showDataLabelsRange val="1"/>
            </c:ext>
          </c:extLst>
        </c:dLbl>
      </c:pivotFmt>
      <c:pivotFmt>
        <c:idx val="3"/>
        <c:spPr>
          <a:solidFill>
            <a:schemeClr val="accent1"/>
          </a:solidFill>
          <a:ln>
            <a:noFill/>
          </a:ln>
          <a:effectLst>
            <a:glow>
              <a:schemeClr val="accent1">
                <a:alpha val="40000"/>
              </a:schemeClr>
            </a:glow>
            <a:softEdge rad="0"/>
          </a:effectLst>
        </c:spPr>
        <c:dLbl>
          <c:idx val="0"/>
          <c:tx>
            <c:rich>
              <a:bodyPr rot="0" spcFirstLastPara="1" vertOverflow="ellipsis" vert="horz" wrap="non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BC055555-6FFD-4627-82B3-D987DE6C72FE}" type="CELLRANGE">
                  <a:rPr lang="en-IN"/>
                  <a:pPr>
                    <a:defRPr sz="900" b="0" i="0" u="none" strike="noStrike" kern="1200" baseline="0">
                      <a:solidFill>
                        <a:schemeClr val="tx1">
                          <a:lumMod val="75000"/>
                          <a:lumOff val="25000"/>
                        </a:schemeClr>
                      </a:solidFill>
                      <a:latin typeface="+mn-lt"/>
                      <a:ea typeface="+mn-ea"/>
                      <a:cs typeface="+mn-cs"/>
                    </a:defRPr>
                  </a:pPr>
                  <a:t>[CELLRANGE]</a:t>
                </a:fld>
                <a:endParaRPr lang="en-IN"/>
              </a:p>
            </c:rich>
          </c:tx>
          <c:spPr>
            <a:noFill/>
            <a:ln>
              <a:noFill/>
            </a:ln>
            <a:effectLst/>
          </c:spP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15:dlblFieldTable/>
              <c15:xForSave val="1"/>
              <c15:showDataLabelsRange val="1"/>
            </c:ext>
          </c:extLst>
        </c:dLbl>
      </c:pivotFmt>
    </c:pivotFmts>
    <c:plotArea>
      <c:layout>
        <c:manualLayout>
          <c:layoutTarget val="inner"/>
          <c:xMode val="edge"/>
          <c:yMode val="edge"/>
          <c:x val="3.0750307503075031E-2"/>
          <c:y val="0.24774774774774774"/>
          <c:w val="0.96924969249692483"/>
          <c:h val="0.66216216216216217"/>
        </c:manualLayout>
      </c:layout>
      <c:barChart>
        <c:barDir val="bar"/>
        <c:grouping val="clustered"/>
        <c:varyColors val="0"/>
        <c:ser>
          <c:idx val="0"/>
          <c:order val="0"/>
          <c:tx>
            <c:strRef>
              <c:f>'Pivot Report'!$C$41:$C$42</c:f>
              <c:strCache>
                <c:ptCount val="1"/>
                <c:pt idx="0">
                  <c:v>Count of Patient Admission Flag</c:v>
                </c:pt>
              </c:strCache>
            </c:strRef>
          </c:tx>
          <c:spPr>
            <a:solidFill>
              <a:schemeClr val="accent1"/>
            </a:solidFill>
            <a:ln>
              <a:noFill/>
            </a:ln>
            <a:effectLst>
              <a:glow>
                <a:schemeClr val="accent1">
                  <a:alpha val="40000"/>
                </a:schemeClr>
              </a:glow>
              <a:softEdge rad="0"/>
            </a:effectLst>
          </c:spPr>
          <c:invertIfNegative val="0"/>
          <c:dPt>
            <c:idx val="0"/>
            <c:invertIfNegative val="0"/>
            <c:bubble3D val="0"/>
            <c:extLst>
              <c:ext xmlns:c16="http://schemas.microsoft.com/office/drawing/2014/chart" uri="{C3380CC4-5D6E-409C-BE32-E72D297353CC}">
                <c16:uniqueId val="{00000003-A897-4642-9B35-66EC8963AA1F}"/>
              </c:ext>
            </c:extLst>
          </c:dPt>
          <c:dPt>
            <c:idx val="1"/>
            <c:invertIfNegative val="0"/>
            <c:bubble3D val="0"/>
            <c:extLst>
              <c:ext xmlns:c16="http://schemas.microsoft.com/office/drawing/2014/chart" uri="{C3380CC4-5D6E-409C-BE32-E72D297353CC}">
                <c16:uniqueId val="{00000004-A897-4642-9B35-66EC8963AA1F}"/>
              </c:ext>
            </c:extLst>
          </c:dPt>
          <c:dLbls>
            <c:dLbl>
              <c:idx val="0"/>
              <c:tx>
                <c:rich>
                  <a:bodyPr/>
                  <a:lstStyle/>
                  <a:p>
                    <a:fld id="{2012B382-0205-45D4-9DA3-5C2A45F3E47E}" type="CELLRANGE">
                      <a:rPr lang="en-US"/>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3-A897-4642-9B35-66EC8963AA1F}"/>
                </c:ext>
              </c:extLst>
            </c:dLbl>
            <c:dLbl>
              <c:idx val="1"/>
              <c:tx>
                <c:rich>
                  <a:bodyPr/>
                  <a:lstStyle/>
                  <a:p>
                    <a:fld id="{BC055555-6FFD-4627-82B3-D987DE6C72FE}" type="CELLRANGE">
                      <a:rPr lang="en-IN"/>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A897-4642-9B35-66EC8963AA1F}"/>
                </c:ext>
              </c:extLst>
            </c:dLbl>
            <c:spPr>
              <a:noFill/>
              <a:ln>
                <a:noFill/>
              </a:ln>
              <a:effectLst/>
            </c:spPr>
            <c:txPr>
              <a:bodyPr rot="0" spcFirstLastPara="1" vertOverflow="ellipsis" vert="horz" wrap="non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showLeaderLines val="0"/>
            <c:extLst>
              <c:ext xmlns:c15="http://schemas.microsoft.com/office/drawing/2012/chart" uri="{CE6537A1-D6FC-4f65-9D91-7224C49458BB}">
                <c15:spPr xmlns:c15="http://schemas.microsoft.com/office/drawing/2012/chart">
                  <a:prstGeom prst="rect">
                    <a:avLst/>
                  </a:prstGeom>
                </c15:spPr>
                <c15:showDataLabelsRange val="1"/>
                <c15:showLeaderLines val="1"/>
                <c15:leaderLines>
                  <c:spPr>
                    <a:ln w="9525" cap="flat" cmpd="sng" algn="ctr">
                      <a:solidFill>
                        <a:schemeClr val="tx1">
                          <a:lumMod val="35000"/>
                          <a:lumOff val="65000"/>
                        </a:schemeClr>
                      </a:solidFill>
                      <a:round/>
                    </a:ln>
                    <a:effectLst/>
                  </c:spPr>
                </c15:leaderLines>
              </c:ext>
            </c:extLst>
          </c:dLbls>
          <c:cat>
            <c:strRef>
              <c:f>'Pivot Report'!$C$41:$C$42</c:f>
              <c:strCache>
                <c:ptCount val="2"/>
                <c:pt idx="0">
                  <c:v>Admitted</c:v>
                </c:pt>
                <c:pt idx="1">
                  <c:v>Not Admitted</c:v>
                </c:pt>
              </c:strCache>
            </c:strRef>
          </c:cat>
          <c:val>
            <c:numRef>
              <c:f>'Pivot Report'!$C$41:$C$42</c:f>
              <c:numCache>
                <c:formatCode>0.00</c:formatCode>
                <c:ptCount val="2"/>
                <c:pt idx="0">
                  <c:v>224</c:v>
                </c:pt>
                <c:pt idx="1">
                  <c:v>207</c:v>
                </c:pt>
              </c:numCache>
            </c:numRef>
          </c:val>
          <c:extLst>
            <c:ext xmlns:c15="http://schemas.microsoft.com/office/drawing/2012/chart" uri="{02D57815-91ED-43cb-92C2-25804820EDAC}">
              <c15:datalabelsRange>
                <c15:f>'Pivot Report'!$C$41:$C$42</c15:f>
                <c15:dlblRangeCache>
                  <c:ptCount val="2"/>
                  <c:pt idx="0">
                    <c:v>51.97%</c:v>
                  </c:pt>
                  <c:pt idx="1">
                    <c:v>48.03%</c:v>
                  </c:pt>
                </c15:dlblRangeCache>
              </c15:datalabelsRange>
            </c:ext>
            <c:ext xmlns:c16="http://schemas.microsoft.com/office/drawing/2014/chart" uri="{C3380CC4-5D6E-409C-BE32-E72D297353CC}">
              <c16:uniqueId val="{00000000-A897-4642-9B35-66EC8963AA1F}"/>
            </c:ext>
          </c:extLst>
        </c:ser>
        <c:ser>
          <c:idx val="1"/>
          <c:order val="1"/>
          <c:tx>
            <c:strRef>
              <c:f>'Pivot Report'!$C$41:$C$42</c:f>
              <c:strCache>
                <c:ptCount val="1"/>
                <c:pt idx="0">
                  <c:v>Patient Admission Flag in %</c:v>
                </c:pt>
              </c:strCache>
            </c:strRef>
          </c:tx>
          <c:spPr>
            <a:solidFill>
              <a:schemeClr val="accent2"/>
            </a:solidFill>
            <a:ln>
              <a:noFill/>
            </a:ln>
            <a:effectLst/>
          </c:spPr>
          <c:invertIfNegative val="0"/>
          <c:cat>
            <c:strRef>
              <c:f>'Pivot Report'!$C$41:$C$42</c:f>
              <c:strCache>
                <c:ptCount val="2"/>
                <c:pt idx="0">
                  <c:v>Admitted</c:v>
                </c:pt>
                <c:pt idx="1">
                  <c:v>Not Admitted</c:v>
                </c:pt>
              </c:strCache>
            </c:strRef>
          </c:cat>
          <c:val>
            <c:numRef>
              <c:f>'Pivot Report'!$C$41:$C$42</c:f>
              <c:numCache>
                <c:formatCode>0.00%</c:formatCode>
                <c:ptCount val="2"/>
                <c:pt idx="0">
                  <c:v>0.51972157772621808</c:v>
                </c:pt>
                <c:pt idx="1">
                  <c:v>0.48027842227378192</c:v>
                </c:pt>
              </c:numCache>
            </c:numRef>
          </c:val>
          <c:extLst>
            <c:ext xmlns:c16="http://schemas.microsoft.com/office/drawing/2014/chart" uri="{C3380CC4-5D6E-409C-BE32-E72D297353CC}">
              <c16:uniqueId val="{00000001-A897-4642-9B35-66EC8963AA1F}"/>
            </c:ext>
          </c:extLst>
        </c:ser>
        <c:dLbls>
          <c:showLegendKey val="0"/>
          <c:showVal val="0"/>
          <c:showCatName val="0"/>
          <c:showSerName val="0"/>
          <c:showPercent val="0"/>
          <c:showBubbleSize val="0"/>
        </c:dLbls>
        <c:gapWidth val="33"/>
        <c:overlap val="100"/>
        <c:axId val="995706624"/>
        <c:axId val="995705184"/>
      </c:barChart>
      <c:catAx>
        <c:axId val="995706624"/>
        <c:scaling>
          <c:orientation val="minMax"/>
        </c:scaling>
        <c:delete val="1"/>
        <c:axPos val="l"/>
        <c:numFmt formatCode="General" sourceLinked="1"/>
        <c:majorTickMark val="none"/>
        <c:minorTickMark val="none"/>
        <c:tickLblPos val="nextTo"/>
        <c:crossAx val="995705184"/>
        <c:crosses val="autoZero"/>
        <c:auto val="1"/>
        <c:lblAlgn val="ctr"/>
        <c:lblOffset val="100"/>
        <c:noMultiLvlLbl val="0"/>
      </c:catAx>
      <c:valAx>
        <c:axId val="995705184"/>
        <c:scaling>
          <c:orientation val="minMax"/>
        </c:scaling>
        <c:delete val="1"/>
        <c:axPos val="b"/>
        <c:numFmt formatCode="0.00" sourceLinked="1"/>
        <c:majorTickMark val="none"/>
        <c:minorTickMark val="none"/>
        <c:tickLblPos val="nextTo"/>
        <c:crossAx val="995706624"/>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Dashboard.xlsx]Pivot Report!PivotTable4</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
          <c:y val="8.9816486593290362E-2"/>
          <c:w val="0.97649633639545053"/>
          <c:h val="0.91018351340670967"/>
        </c:manualLayout>
      </c:layout>
      <c:areaChart>
        <c:grouping val="standard"/>
        <c:varyColors val="0"/>
        <c:ser>
          <c:idx val="0"/>
          <c:order val="0"/>
          <c:tx>
            <c:strRef>
              <c:f>'Pivot Report'!$E$3</c:f>
              <c:strCache>
                <c:ptCount val="1"/>
                <c:pt idx="0">
                  <c:v>Total</c:v>
                </c:pt>
              </c:strCache>
            </c:strRef>
          </c:tx>
          <c:spPr>
            <a:solidFill>
              <a:schemeClr val="accent1"/>
            </a:solidFill>
            <a:ln>
              <a:noFill/>
            </a:ln>
            <a:effectLst/>
          </c:spPr>
          <c:cat>
            <c:strRef>
              <c:f>'Pivot Report'!$D$4:$D$33</c:f>
              <c:strCache>
                <c:ptCount val="29"/>
                <c:pt idx="0">
                  <c:v>1-Feb</c:v>
                </c:pt>
                <c:pt idx="1">
                  <c:v>2-Feb</c:v>
                </c:pt>
                <c:pt idx="2">
                  <c:v>3-Feb</c:v>
                </c:pt>
                <c:pt idx="3">
                  <c:v>4-Feb</c:v>
                </c:pt>
                <c:pt idx="4">
                  <c:v>5-Feb</c:v>
                </c:pt>
                <c:pt idx="5">
                  <c:v>6-Feb</c:v>
                </c:pt>
                <c:pt idx="6">
                  <c:v>7-Feb</c:v>
                </c:pt>
                <c:pt idx="7">
                  <c:v>8-Feb</c:v>
                </c:pt>
                <c:pt idx="8">
                  <c:v>9-Feb</c:v>
                </c:pt>
                <c:pt idx="9">
                  <c:v>10-Feb</c:v>
                </c:pt>
                <c:pt idx="10">
                  <c:v>11-Feb</c:v>
                </c:pt>
                <c:pt idx="11">
                  <c:v>12-Feb</c:v>
                </c:pt>
                <c:pt idx="12">
                  <c:v>13-Feb</c:v>
                </c:pt>
                <c:pt idx="13">
                  <c:v>14-Feb</c:v>
                </c:pt>
                <c:pt idx="14">
                  <c:v>15-Feb</c:v>
                </c:pt>
                <c:pt idx="15">
                  <c:v>16-Feb</c:v>
                </c:pt>
                <c:pt idx="16">
                  <c:v>17-Feb</c:v>
                </c:pt>
                <c:pt idx="17">
                  <c:v>18-Feb</c:v>
                </c:pt>
                <c:pt idx="18">
                  <c:v>19-Feb</c:v>
                </c:pt>
                <c:pt idx="19">
                  <c:v>20-Feb</c:v>
                </c:pt>
                <c:pt idx="20">
                  <c:v>21-Feb</c:v>
                </c:pt>
                <c:pt idx="21">
                  <c:v>22-Feb</c:v>
                </c:pt>
                <c:pt idx="22">
                  <c:v>23-Feb</c:v>
                </c:pt>
                <c:pt idx="23">
                  <c:v>24-Feb</c:v>
                </c:pt>
                <c:pt idx="24">
                  <c:v>25-Feb</c:v>
                </c:pt>
                <c:pt idx="25">
                  <c:v>26-Feb</c:v>
                </c:pt>
                <c:pt idx="26">
                  <c:v>27-Feb</c:v>
                </c:pt>
                <c:pt idx="27">
                  <c:v>28-Feb</c:v>
                </c:pt>
                <c:pt idx="28">
                  <c:v>29-Feb</c:v>
                </c:pt>
              </c:strCache>
            </c:strRef>
          </c:cat>
          <c:val>
            <c:numRef>
              <c:f>'Pivot Report'!$E$4:$E$33</c:f>
              <c:numCache>
                <c:formatCode>General</c:formatCode>
                <c:ptCount val="29"/>
                <c:pt idx="0">
                  <c:v>13</c:v>
                </c:pt>
                <c:pt idx="1">
                  <c:v>10</c:v>
                </c:pt>
                <c:pt idx="2">
                  <c:v>8</c:v>
                </c:pt>
                <c:pt idx="3">
                  <c:v>12</c:v>
                </c:pt>
                <c:pt idx="4">
                  <c:v>19</c:v>
                </c:pt>
                <c:pt idx="5">
                  <c:v>9</c:v>
                </c:pt>
                <c:pt idx="6">
                  <c:v>13</c:v>
                </c:pt>
                <c:pt idx="7">
                  <c:v>19</c:v>
                </c:pt>
                <c:pt idx="8">
                  <c:v>10</c:v>
                </c:pt>
                <c:pt idx="9">
                  <c:v>20</c:v>
                </c:pt>
                <c:pt idx="10">
                  <c:v>15</c:v>
                </c:pt>
                <c:pt idx="11">
                  <c:v>13</c:v>
                </c:pt>
                <c:pt idx="12">
                  <c:v>9</c:v>
                </c:pt>
                <c:pt idx="13">
                  <c:v>19</c:v>
                </c:pt>
                <c:pt idx="14">
                  <c:v>14</c:v>
                </c:pt>
                <c:pt idx="15">
                  <c:v>17</c:v>
                </c:pt>
                <c:pt idx="16">
                  <c:v>17</c:v>
                </c:pt>
                <c:pt idx="17">
                  <c:v>15</c:v>
                </c:pt>
                <c:pt idx="18">
                  <c:v>9</c:v>
                </c:pt>
                <c:pt idx="19">
                  <c:v>14</c:v>
                </c:pt>
                <c:pt idx="20">
                  <c:v>22</c:v>
                </c:pt>
                <c:pt idx="21">
                  <c:v>16</c:v>
                </c:pt>
                <c:pt idx="22">
                  <c:v>22</c:v>
                </c:pt>
                <c:pt idx="23">
                  <c:v>12</c:v>
                </c:pt>
                <c:pt idx="24">
                  <c:v>20</c:v>
                </c:pt>
                <c:pt idx="25">
                  <c:v>18</c:v>
                </c:pt>
                <c:pt idx="26">
                  <c:v>18</c:v>
                </c:pt>
                <c:pt idx="27">
                  <c:v>13</c:v>
                </c:pt>
                <c:pt idx="28">
                  <c:v>15</c:v>
                </c:pt>
              </c:numCache>
            </c:numRef>
          </c:val>
          <c:extLst>
            <c:ext xmlns:c16="http://schemas.microsoft.com/office/drawing/2014/chart" uri="{C3380CC4-5D6E-409C-BE32-E72D297353CC}">
              <c16:uniqueId val="{00000000-C0B6-4858-9796-D4A590C0568E}"/>
            </c:ext>
          </c:extLst>
        </c:ser>
        <c:dLbls>
          <c:showLegendKey val="0"/>
          <c:showVal val="0"/>
          <c:showCatName val="0"/>
          <c:showSerName val="0"/>
          <c:showPercent val="0"/>
          <c:showBubbleSize val="0"/>
        </c:dLbls>
        <c:axId val="39066576"/>
        <c:axId val="39062256"/>
      </c:areaChart>
      <c:catAx>
        <c:axId val="39066576"/>
        <c:scaling>
          <c:orientation val="minMax"/>
        </c:scaling>
        <c:delete val="1"/>
        <c:axPos val="b"/>
        <c:numFmt formatCode="General" sourceLinked="1"/>
        <c:majorTickMark val="out"/>
        <c:minorTickMark val="none"/>
        <c:tickLblPos val="nextTo"/>
        <c:crossAx val="39062256"/>
        <c:crosses val="autoZero"/>
        <c:auto val="1"/>
        <c:lblAlgn val="ctr"/>
        <c:lblOffset val="100"/>
        <c:noMultiLvlLbl val="0"/>
      </c:catAx>
      <c:valAx>
        <c:axId val="39062256"/>
        <c:scaling>
          <c:orientation val="minMax"/>
        </c:scaling>
        <c:delete val="1"/>
        <c:axPos val="l"/>
        <c:numFmt formatCode="General" sourceLinked="1"/>
        <c:majorTickMark val="none"/>
        <c:minorTickMark val="none"/>
        <c:tickLblPos val="nextTo"/>
        <c:crossAx val="39066576"/>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Dashboard.xlsx]Pivot Report!PivotTable5</c:name>
    <c:fmtId val="1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
          <c:y val="0.27882366976855166"/>
          <c:w val="1"/>
          <c:h val="0.72117633023144834"/>
        </c:manualLayout>
      </c:layout>
      <c:areaChart>
        <c:grouping val="standard"/>
        <c:varyColors val="0"/>
        <c:ser>
          <c:idx val="0"/>
          <c:order val="0"/>
          <c:tx>
            <c:strRef>
              <c:f>'Pivot Report'!$I$3</c:f>
              <c:strCache>
                <c:ptCount val="1"/>
                <c:pt idx="0">
                  <c:v>Total</c:v>
                </c:pt>
              </c:strCache>
            </c:strRef>
          </c:tx>
          <c:spPr>
            <a:solidFill>
              <a:schemeClr val="accent1"/>
            </a:solidFill>
            <a:ln w="25400">
              <a:noFill/>
            </a:ln>
            <a:effectLst/>
          </c:spPr>
          <c:cat>
            <c:strRef>
              <c:f>'Pivot Report'!$H$4:$H$33</c:f>
              <c:strCache>
                <c:ptCount val="29"/>
                <c:pt idx="0">
                  <c:v>1-Feb</c:v>
                </c:pt>
                <c:pt idx="1">
                  <c:v>2-Feb</c:v>
                </c:pt>
                <c:pt idx="2">
                  <c:v>3-Feb</c:v>
                </c:pt>
                <c:pt idx="3">
                  <c:v>4-Feb</c:v>
                </c:pt>
                <c:pt idx="4">
                  <c:v>5-Feb</c:v>
                </c:pt>
                <c:pt idx="5">
                  <c:v>6-Feb</c:v>
                </c:pt>
                <c:pt idx="6">
                  <c:v>7-Feb</c:v>
                </c:pt>
                <c:pt idx="7">
                  <c:v>8-Feb</c:v>
                </c:pt>
                <c:pt idx="8">
                  <c:v>9-Feb</c:v>
                </c:pt>
                <c:pt idx="9">
                  <c:v>10-Feb</c:v>
                </c:pt>
                <c:pt idx="10">
                  <c:v>11-Feb</c:v>
                </c:pt>
                <c:pt idx="11">
                  <c:v>12-Feb</c:v>
                </c:pt>
                <c:pt idx="12">
                  <c:v>13-Feb</c:v>
                </c:pt>
                <c:pt idx="13">
                  <c:v>14-Feb</c:v>
                </c:pt>
                <c:pt idx="14">
                  <c:v>15-Feb</c:v>
                </c:pt>
                <c:pt idx="15">
                  <c:v>16-Feb</c:v>
                </c:pt>
                <c:pt idx="16">
                  <c:v>17-Feb</c:v>
                </c:pt>
                <c:pt idx="17">
                  <c:v>18-Feb</c:v>
                </c:pt>
                <c:pt idx="18">
                  <c:v>19-Feb</c:v>
                </c:pt>
                <c:pt idx="19">
                  <c:v>20-Feb</c:v>
                </c:pt>
                <c:pt idx="20">
                  <c:v>21-Feb</c:v>
                </c:pt>
                <c:pt idx="21">
                  <c:v>22-Feb</c:v>
                </c:pt>
                <c:pt idx="22">
                  <c:v>23-Feb</c:v>
                </c:pt>
                <c:pt idx="23">
                  <c:v>24-Feb</c:v>
                </c:pt>
                <c:pt idx="24">
                  <c:v>25-Feb</c:v>
                </c:pt>
                <c:pt idx="25">
                  <c:v>26-Feb</c:v>
                </c:pt>
                <c:pt idx="26">
                  <c:v>27-Feb</c:v>
                </c:pt>
                <c:pt idx="27">
                  <c:v>28-Feb</c:v>
                </c:pt>
                <c:pt idx="28">
                  <c:v>29-Feb</c:v>
                </c:pt>
              </c:strCache>
            </c:strRef>
          </c:cat>
          <c:val>
            <c:numRef>
              <c:f>'Pivot Report'!$I$4:$I$33</c:f>
              <c:numCache>
                <c:formatCode>0.00</c:formatCode>
                <c:ptCount val="29"/>
                <c:pt idx="0">
                  <c:v>35.692307692307693</c:v>
                </c:pt>
                <c:pt idx="1">
                  <c:v>45.4</c:v>
                </c:pt>
                <c:pt idx="2">
                  <c:v>29.375</c:v>
                </c:pt>
                <c:pt idx="3">
                  <c:v>34.583333333333336</c:v>
                </c:pt>
                <c:pt idx="4">
                  <c:v>38.684210526315788</c:v>
                </c:pt>
                <c:pt idx="5">
                  <c:v>34.777777777777779</c:v>
                </c:pt>
                <c:pt idx="6">
                  <c:v>37.307692307692307</c:v>
                </c:pt>
                <c:pt idx="7">
                  <c:v>35.631578947368418</c:v>
                </c:pt>
                <c:pt idx="8">
                  <c:v>36.6</c:v>
                </c:pt>
                <c:pt idx="9">
                  <c:v>39.700000000000003</c:v>
                </c:pt>
                <c:pt idx="10">
                  <c:v>37.4</c:v>
                </c:pt>
                <c:pt idx="11">
                  <c:v>27.76923076923077</c:v>
                </c:pt>
                <c:pt idx="12">
                  <c:v>38.777777777777779</c:v>
                </c:pt>
                <c:pt idx="13">
                  <c:v>31</c:v>
                </c:pt>
                <c:pt idx="14">
                  <c:v>35.928571428571431</c:v>
                </c:pt>
                <c:pt idx="15">
                  <c:v>37.882352941176471</c:v>
                </c:pt>
                <c:pt idx="16">
                  <c:v>40.588235294117645</c:v>
                </c:pt>
                <c:pt idx="17">
                  <c:v>34.533333333333331</c:v>
                </c:pt>
                <c:pt idx="18">
                  <c:v>40.333333333333336</c:v>
                </c:pt>
                <c:pt idx="19">
                  <c:v>35.285714285714285</c:v>
                </c:pt>
                <c:pt idx="20">
                  <c:v>35.5</c:v>
                </c:pt>
                <c:pt idx="21">
                  <c:v>38.5625</c:v>
                </c:pt>
                <c:pt idx="22">
                  <c:v>42.727272727272727</c:v>
                </c:pt>
                <c:pt idx="23">
                  <c:v>37.416666666666664</c:v>
                </c:pt>
                <c:pt idx="24">
                  <c:v>32.450000000000003</c:v>
                </c:pt>
                <c:pt idx="25">
                  <c:v>40.055555555555557</c:v>
                </c:pt>
                <c:pt idx="26">
                  <c:v>31.666666666666668</c:v>
                </c:pt>
                <c:pt idx="27">
                  <c:v>39.769230769230766</c:v>
                </c:pt>
                <c:pt idx="28">
                  <c:v>36.733333333333334</c:v>
                </c:pt>
              </c:numCache>
            </c:numRef>
          </c:val>
          <c:extLst>
            <c:ext xmlns:c16="http://schemas.microsoft.com/office/drawing/2014/chart" uri="{C3380CC4-5D6E-409C-BE32-E72D297353CC}">
              <c16:uniqueId val="{00000001-E9AB-43FB-BDB6-53428330F221}"/>
            </c:ext>
          </c:extLst>
        </c:ser>
        <c:dLbls>
          <c:showLegendKey val="0"/>
          <c:showVal val="0"/>
          <c:showCatName val="0"/>
          <c:showSerName val="0"/>
          <c:showPercent val="0"/>
          <c:showBubbleSize val="0"/>
        </c:dLbls>
        <c:axId val="203959424"/>
        <c:axId val="203969024"/>
      </c:areaChart>
      <c:catAx>
        <c:axId val="203959424"/>
        <c:scaling>
          <c:orientation val="minMax"/>
        </c:scaling>
        <c:delete val="1"/>
        <c:axPos val="b"/>
        <c:numFmt formatCode="General" sourceLinked="1"/>
        <c:majorTickMark val="out"/>
        <c:minorTickMark val="none"/>
        <c:tickLblPos val="nextTo"/>
        <c:crossAx val="203969024"/>
        <c:crosses val="autoZero"/>
        <c:auto val="1"/>
        <c:lblAlgn val="ctr"/>
        <c:lblOffset val="100"/>
        <c:noMultiLvlLbl val="0"/>
      </c:catAx>
      <c:valAx>
        <c:axId val="203969024"/>
        <c:scaling>
          <c:orientation val="minMax"/>
        </c:scaling>
        <c:delete val="1"/>
        <c:axPos val="l"/>
        <c:numFmt formatCode="0.00" sourceLinked="1"/>
        <c:majorTickMark val="none"/>
        <c:minorTickMark val="none"/>
        <c:tickLblPos val="nextTo"/>
        <c:crossAx val="203959424"/>
        <c:crosses val="autoZero"/>
        <c:crossBetween val="midCat"/>
      </c:valAx>
      <c:spPr>
        <a:noFill/>
        <a:ln w="25400">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Dashboard.xlsx]Pivot Report!PivotTable6</c:name>
    <c:fmtId val="3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
          <c:y val="0.17907174771092546"/>
          <c:w val="1"/>
          <c:h val="0.8209282522890744"/>
        </c:manualLayout>
      </c:layout>
      <c:areaChart>
        <c:grouping val="standard"/>
        <c:varyColors val="0"/>
        <c:ser>
          <c:idx val="0"/>
          <c:order val="0"/>
          <c:tx>
            <c:strRef>
              <c:f>'Pivot Report'!$L$3</c:f>
              <c:strCache>
                <c:ptCount val="1"/>
                <c:pt idx="0">
                  <c:v>Total</c:v>
                </c:pt>
              </c:strCache>
            </c:strRef>
          </c:tx>
          <c:spPr>
            <a:solidFill>
              <a:schemeClr val="accent1"/>
            </a:solidFill>
            <a:ln>
              <a:noFill/>
            </a:ln>
            <a:effectLst/>
          </c:spPr>
          <c:cat>
            <c:strRef>
              <c:f>'Pivot Report'!$K$4:$K$32</c:f>
              <c:strCache>
                <c:ptCount val="28"/>
                <c:pt idx="0">
                  <c:v>1-Feb</c:v>
                </c:pt>
                <c:pt idx="1">
                  <c:v>2-Feb</c:v>
                </c:pt>
                <c:pt idx="2">
                  <c:v>3-Feb</c:v>
                </c:pt>
                <c:pt idx="3">
                  <c:v>4-Feb</c:v>
                </c:pt>
                <c:pt idx="4">
                  <c:v>5-Feb</c:v>
                </c:pt>
                <c:pt idx="5">
                  <c:v>6-Feb</c:v>
                </c:pt>
                <c:pt idx="6">
                  <c:v>7-Feb</c:v>
                </c:pt>
                <c:pt idx="7">
                  <c:v>8-Feb</c:v>
                </c:pt>
                <c:pt idx="8">
                  <c:v>9-Feb</c:v>
                </c:pt>
                <c:pt idx="9">
                  <c:v>10-Feb</c:v>
                </c:pt>
                <c:pt idx="10">
                  <c:v>11-Feb</c:v>
                </c:pt>
                <c:pt idx="11">
                  <c:v>12-Feb</c:v>
                </c:pt>
                <c:pt idx="12">
                  <c:v>13-Feb</c:v>
                </c:pt>
                <c:pt idx="13">
                  <c:v>14-Feb</c:v>
                </c:pt>
                <c:pt idx="14">
                  <c:v>15-Feb</c:v>
                </c:pt>
                <c:pt idx="15">
                  <c:v>16-Feb</c:v>
                </c:pt>
                <c:pt idx="16">
                  <c:v>17-Feb</c:v>
                </c:pt>
                <c:pt idx="17">
                  <c:v>18-Feb</c:v>
                </c:pt>
                <c:pt idx="18">
                  <c:v>19-Feb</c:v>
                </c:pt>
                <c:pt idx="19">
                  <c:v>20-Feb</c:v>
                </c:pt>
                <c:pt idx="20">
                  <c:v>21-Feb</c:v>
                </c:pt>
                <c:pt idx="21">
                  <c:v>22-Feb</c:v>
                </c:pt>
                <c:pt idx="22">
                  <c:v>23-Feb</c:v>
                </c:pt>
                <c:pt idx="23">
                  <c:v>24-Feb</c:v>
                </c:pt>
                <c:pt idx="24">
                  <c:v>25-Feb</c:v>
                </c:pt>
                <c:pt idx="25">
                  <c:v>27-Feb</c:v>
                </c:pt>
                <c:pt idx="26">
                  <c:v>28-Feb</c:v>
                </c:pt>
                <c:pt idx="27">
                  <c:v>29-Feb</c:v>
                </c:pt>
              </c:strCache>
            </c:strRef>
          </c:cat>
          <c:val>
            <c:numRef>
              <c:f>'Pivot Report'!$L$4:$L$32</c:f>
              <c:numCache>
                <c:formatCode>0.00</c:formatCode>
                <c:ptCount val="28"/>
                <c:pt idx="0">
                  <c:v>4.166666666666667</c:v>
                </c:pt>
                <c:pt idx="1">
                  <c:v>5.75</c:v>
                </c:pt>
                <c:pt idx="2">
                  <c:v>4.75</c:v>
                </c:pt>
                <c:pt idx="3">
                  <c:v>7</c:v>
                </c:pt>
                <c:pt idx="4">
                  <c:v>3.1428571428571428</c:v>
                </c:pt>
                <c:pt idx="5">
                  <c:v>8</c:v>
                </c:pt>
                <c:pt idx="6">
                  <c:v>5.25</c:v>
                </c:pt>
                <c:pt idx="7">
                  <c:v>4.5714285714285712</c:v>
                </c:pt>
                <c:pt idx="8">
                  <c:v>2.75</c:v>
                </c:pt>
                <c:pt idx="9">
                  <c:v>4.5</c:v>
                </c:pt>
                <c:pt idx="10">
                  <c:v>5.5</c:v>
                </c:pt>
                <c:pt idx="11">
                  <c:v>5.6</c:v>
                </c:pt>
                <c:pt idx="12">
                  <c:v>5.75</c:v>
                </c:pt>
                <c:pt idx="13">
                  <c:v>3.4444444444444446</c:v>
                </c:pt>
                <c:pt idx="14">
                  <c:v>1.5</c:v>
                </c:pt>
                <c:pt idx="15">
                  <c:v>3.6666666666666665</c:v>
                </c:pt>
                <c:pt idx="16">
                  <c:v>4.4285714285714288</c:v>
                </c:pt>
                <c:pt idx="17">
                  <c:v>6</c:v>
                </c:pt>
                <c:pt idx="18">
                  <c:v>2.6666666666666665</c:v>
                </c:pt>
                <c:pt idx="19">
                  <c:v>7.5</c:v>
                </c:pt>
                <c:pt idx="20">
                  <c:v>4.5</c:v>
                </c:pt>
                <c:pt idx="21">
                  <c:v>8</c:v>
                </c:pt>
                <c:pt idx="22">
                  <c:v>4.3636363636363633</c:v>
                </c:pt>
                <c:pt idx="23">
                  <c:v>0</c:v>
                </c:pt>
                <c:pt idx="24">
                  <c:v>10</c:v>
                </c:pt>
                <c:pt idx="25">
                  <c:v>6.75</c:v>
                </c:pt>
                <c:pt idx="26">
                  <c:v>7</c:v>
                </c:pt>
                <c:pt idx="27">
                  <c:v>3.3333333333333335</c:v>
                </c:pt>
              </c:numCache>
            </c:numRef>
          </c:val>
          <c:extLst>
            <c:ext xmlns:c16="http://schemas.microsoft.com/office/drawing/2014/chart" uri="{C3380CC4-5D6E-409C-BE32-E72D297353CC}">
              <c16:uniqueId val="{00000000-B702-4C42-A5B2-AB63721D4C95}"/>
            </c:ext>
          </c:extLst>
        </c:ser>
        <c:dLbls>
          <c:showLegendKey val="0"/>
          <c:showVal val="0"/>
          <c:showCatName val="0"/>
          <c:showSerName val="0"/>
          <c:showPercent val="0"/>
          <c:showBubbleSize val="0"/>
        </c:dLbls>
        <c:axId val="745186879"/>
        <c:axId val="745187839"/>
      </c:areaChart>
      <c:catAx>
        <c:axId val="745186879"/>
        <c:scaling>
          <c:orientation val="minMax"/>
        </c:scaling>
        <c:delete val="1"/>
        <c:axPos val="b"/>
        <c:numFmt formatCode="General" sourceLinked="1"/>
        <c:majorTickMark val="out"/>
        <c:minorTickMark val="none"/>
        <c:tickLblPos val="nextTo"/>
        <c:crossAx val="745187839"/>
        <c:crosses val="autoZero"/>
        <c:auto val="1"/>
        <c:lblAlgn val="ctr"/>
        <c:lblOffset val="100"/>
        <c:noMultiLvlLbl val="0"/>
      </c:catAx>
      <c:valAx>
        <c:axId val="745187839"/>
        <c:scaling>
          <c:orientation val="minMax"/>
        </c:scaling>
        <c:delete val="1"/>
        <c:axPos val="l"/>
        <c:numFmt formatCode="0.00" sourceLinked="1"/>
        <c:majorTickMark val="none"/>
        <c:minorTickMark val="none"/>
        <c:tickLblPos val="nextTo"/>
        <c:crossAx val="745186879"/>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Dashboard.xlsx]Pivot Report!PivotTable8</c:name>
    <c:fmtId val="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1.9145321072653272E-2"/>
          <c:y val="0"/>
          <c:w val="0.96170935785469347"/>
          <c:h val="0.74501289853660024"/>
        </c:manualLayout>
      </c:layout>
      <c:barChart>
        <c:barDir val="col"/>
        <c:grouping val="clustered"/>
        <c:varyColors val="0"/>
        <c:ser>
          <c:idx val="0"/>
          <c:order val="0"/>
          <c:tx>
            <c:strRef>
              <c:f>'Pivot Report'!$B$54</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Report'!$A$55:$A$63</c:f>
              <c:strCache>
                <c:ptCount val="8"/>
                <c:pt idx="0">
                  <c:v>0-09</c:v>
                </c:pt>
                <c:pt idx="1">
                  <c:v>10-19</c:v>
                </c:pt>
                <c:pt idx="2">
                  <c:v>20-29</c:v>
                </c:pt>
                <c:pt idx="3">
                  <c:v>30-39</c:v>
                </c:pt>
                <c:pt idx="4">
                  <c:v>40-49</c:v>
                </c:pt>
                <c:pt idx="5">
                  <c:v>50-59</c:v>
                </c:pt>
                <c:pt idx="6">
                  <c:v>60-69</c:v>
                </c:pt>
                <c:pt idx="7">
                  <c:v>70-79</c:v>
                </c:pt>
              </c:strCache>
            </c:strRef>
          </c:cat>
          <c:val>
            <c:numRef>
              <c:f>'Pivot Report'!$B$55:$B$63</c:f>
              <c:numCache>
                <c:formatCode>General</c:formatCode>
                <c:ptCount val="8"/>
                <c:pt idx="0">
                  <c:v>42</c:v>
                </c:pt>
                <c:pt idx="1">
                  <c:v>46</c:v>
                </c:pt>
                <c:pt idx="2">
                  <c:v>54</c:v>
                </c:pt>
                <c:pt idx="3">
                  <c:v>68</c:v>
                </c:pt>
                <c:pt idx="4">
                  <c:v>62</c:v>
                </c:pt>
                <c:pt idx="5">
                  <c:v>52</c:v>
                </c:pt>
                <c:pt idx="6">
                  <c:v>54</c:v>
                </c:pt>
                <c:pt idx="7">
                  <c:v>53</c:v>
                </c:pt>
              </c:numCache>
            </c:numRef>
          </c:val>
          <c:extLst>
            <c:ext xmlns:c16="http://schemas.microsoft.com/office/drawing/2014/chart" uri="{C3380CC4-5D6E-409C-BE32-E72D297353CC}">
              <c16:uniqueId val="{00000000-63E2-42CA-8A3B-2F0378BFB3E3}"/>
            </c:ext>
          </c:extLst>
        </c:ser>
        <c:dLbls>
          <c:showLegendKey val="0"/>
          <c:showVal val="0"/>
          <c:showCatName val="0"/>
          <c:showSerName val="0"/>
          <c:showPercent val="0"/>
          <c:showBubbleSize val="0"/>
        </c:dLbls>
        <c:gapWidth val="219"/>
        <c:overlap val="-27"/>
        <c:axId val="1874008432"/>
        <c:axId val="1874018032"/>
      </c:barChart>
      <c:catAx>
        <c:axId val="18740084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874018032"/>
        <c:crosses val="autoZero"/>
        <c:auto val="1"/>
        <c:lblAlgn val="ctr"/>
        <c:lblOffset val="100"/>
        <c:noMultiLvlLbl val="0"/>
      </c:catAx>
      <c:valAx>
        <c:axId val="1874018032"/>
        <c:scaling>
          <c:orientation val="minMax"/>
        </c:scaling>
        <c:delete val="1"/>
        <c:axPos val="l"/>
        <c:numFmt formatCode="General" sourceLinked="1"/>
        <c:majorTickMark val="none"/>
        <c:minorTickMark val="none"/>
        <c:tickLblPos val="nextTo"/>
        <c:crossAx val="187400843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Dashboard.xlsx]Pivot Report!PivotTable9</c:name>
    <c:fmtId val="11"/>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a:noFill/>
          </a:ln>
          <a:effectLst>
            <a:outerShdw blurRad="317500" algn="ctr" rotWithShape="0">
              <a:prstClr val="black">
                <a:alpha val="25000"/>
              </a:prstClr>
            </a:outerShdw>
          </a:effectLst>
        </c:spPr>
        <c:dLbl>
          <c:idx val="0"/>
          <c:layout>
            <c:manualLayout>
              <c:x val="-0.21931822416644936"/>
              <c:y val="-4.8287795312764184E-2"/>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lt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accent1"/>
          </a:solidFill>
          <a:ln>
            <a:noFill/>
          </a:ln>
          <a:effectLst/>
        </c:spPr>
        <c:dLbl>
          <c:idx val="0"/>
          <c:layout>
            <c:manualLayout>
              <c:x val="0.22088879110420567"/>
              <c:y val="3.0998645167948671E-2"/>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lt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s>
    <c:plotArea>
      <c:layout>
        <c:manualLayout>
          <c:layoutTarget val="inner"/>
          <c:xMode val="edge"/>
          <c:yMode val="edge"/>
          <c:x val="0.22012590335369611"/>
          <c:y val="0.15344384254084809"/>
          <c:w val="0.61956645939250987"/>
          <c:h val="0.73300485581508679"/>
        </c:manualLayout>
      </c:layout>
      <c:pieChart>
        <c:varyColors val="1"/>
        <c:ser>
          <c:idx val="0"/>
          <c:order val="0"/>
          <c:tx>
            <c:strRef>
              <c:f>'Pivot Report'!$B$69</c:f>
              <c:strCache>
                <c:ptCount val="1"/>
                <c:pt idx="0">
                  <c:v>Total</c:v>
                </c:pt>
              </c:strCache>
            </c:strRef>
          </c:tx>
          <c:spPr>
            <a:effectLst/>
          </c:spPr>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F352-41AF-9F5C-A34DD00D65F4}"/>
              </c:ext>
            </c:extLst>
          </c:dPt>
          <c:dPt>
            <c:idx val="1"/>
            <c:bubble3D val="0"/>
            <c:spPr>
              <a:solidFill>
                <a:schemeClr val="accent2"/>
              </a:solidFill>
              <a:ln>
                <a:noFill/>
              </a:ln>
              <a:effectLst/>
            </c:spPr>
            <c:extLst>
              <c:ext xmlns:c16="http://schemas.microsoft.com/office/drawing/2014/chart" uri="{C3380CC4-5D6E-409C-BE32-E72D297353CC}">
                <c16:uniqueId val="{00000003-F352-41AF-9F5C-A34DD00D65F4}"/>
              </c:ext>
            </c:extLst>
          </c:dPt>
          <c:dLbls>
            <c:dLbl>
              <c:idx val="0"/>
              <c:layout>
                <c:manualLayout>
                  <c:x val="-0.21931822416644936"/>
                  <c:y val="-4.8287795312764184E-2"/>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lt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F352-41AF-9F5C-A34DD00D65F4}"/>
                </c:ext>
              </c:extLst>
            </c:dLbl>
            <c:dLbl>
              <c:idx val="1"/>
              <c:layout>
                <c:manualLayout>
                  <c:x val="0.22088879110420567"/>
                  <c:y val="3.0998645167948671E-2"/>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lt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F352-41AF-9F5C-A34DD00D65F4}"/>
                </c:ext>
              </c:extLst>
            </c:dLbl>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'Pivot Report'!$A$70:$A$72</c:f>
              <c:strCache>
                <c:ptCount val="2"/>
                <c:pt idx="0">
                  <c:v>Delay</c:v>
                </c:pt>
                <c:pt idx="1">
                  <c:v>Ontime</c:v>
                </c:pt>
              </c:strCache>
            </c:strRef>
          </c:cat>
          <c:val>
            <c:numRef>
              <c:f>'Pivot Report'!$B$70:$B$72</c:f>
              <c:numCache>
                <c:formatCode>General</c:formatCode>
                <c:ptCount val="2"/>
                <c:pt idx="0">
                  <c:v>283</c:v>
                </c:pt>
                <c:pt idx="1">
                  <c:v>148</c:v>
                </c:pt>
              </c:numCache>
            </c:numRef>
          </c:val>
          <c:extLst>
            <c:ext xmlns:c16="http://schemas.microsoft.com/office/drawing/2014/chart" uri="{C3380CC4-5D6E-409C-BE32-E72D297353CC}">
              <c16:uniqueId val="{00000004-F352-41AF-9F5C-A34DD00D65F4}"/>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legendEntry>
        <c:idx val="0"/>
        <c:txPr>
          <a:bodyPr rot="0" spcFirstLastPara="1" vertOverflow="ellipsis" vert="horz" wrap="square" anchor="ctr" anchorCtr="1"/>
          <a:lstStyle/>
          <a:p>
            <a:pPr>
              <a:defRPr sz="1200" b="0" i="0" u="none" strike="noStrike" kern="1200" baseline="0">
                <a:solidFill>
                  <a:schemeClr val="dk1">
                    <a:lumMod val="65000"/>
                    <a:lumOff val="35000"/>
                  </a:schemeClr>
                </a:solidFill>
                <a:latin typeface="+mn-lt"/>
                <a:ea typeface="+mn-ea"/>
                <a:cs typeface="+mn-cs"/>
              </a:defRPr>
            </a:pPr>
            <a:endParaRPr lang="en-US"/>
          </a:p>
        </c:txPr>
      </c:legendEntry>
      <c:legendEntry>
        <c:idx val="1"/>
        <c:txPr>
          <a:bodyPr rot="0" spcFirstLastPara="1" vertOverflow="ellipsis" vert="horz" wrap="square" anchor="ctr" anchorCtr="1"/>
          <a:lstStyle/>
          <a:p>
            <a:pPr>
              <a:defRPr sz="1200" b="0" i="0" u="none" strike="noStrike" kern="1200" baseline="0">
                <a:solidFill>
                  <a:schemeClr val="dk1">
                    <a:lumMod val="65000"/>
                    <a:lumOff val="35000"/>
                  </a:schemeClr>
                </a:solidFill>
                <a:latin typeface="+mn-lt"/>
                <a:ea typeface="+mn-ea"/>
                <a:cs typeface="+mn-cs"/>
              </a:defRPr>
            </a:pPr>
            <a:endParaRPr lang="en-US"/>
          </a:p>
        </c:txPr>
      </c:legendEntry>
      <c:layout>
        <c:manualLayout>
          <c:xMode val="edge"/>
          <c:yMode val="edge"/>
          <c:x val="0.16205702669602162"/>
          <c:y val="2.3726105962342387E-2"/>
          <c:w val="0.69994861526377494"/>
          <c:h val="0.1556941373321007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Dashboard.xlsx]Pivot Report!PivotTable10</c:name>
    <c:fmtId val="22"/>
  </c:pivotSource>
  <c:chart>
    <c:autoTitleDeleted val="1"/>
    <c:pivotFmts>
      <c:pivotFmt>
        <c:idx val="0"/>
        <c:spPr>
          <a:solidFill>
            <a:schemeClr val="accent1"/>
          </a:solidFill>
          <a:ln>
            <a:noFill/>
          </a:ln>
          <a:effectLst>
            <a:outerShdw blurRad="317500" algn="ctr" rotWithShape="0">
              <a:prstClr val="black">
                <a:alpha val="25000"/>
              </a:prst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317500" algn="ctr" rotWithShape="0">
              <a:prstClr val="black">
                <a:alpha val="25000"/>
              </a:prstClr>
            </a:outerShdw>
          </a:effectLst>
        </c:spPr>
      </c:pivotFmt>
      <c:pivotFmt>
        <c:idx val="3"/>
        <c:spPr>
          <a:solidFill>
            <a:schemeClr val="accent1"/>
          </a:solidFill>
          <a:ln>
            <a:noFill/>
          </a:ln>
          <a:effectLst>
            <a:outerShdw blurRad="317500" algn="ctr" rotWithShape="0">
              <a:prstClr val="black">
                <a:alpha val="25000"/>
              </a:prstClr>
            </a:outerShdw>
          </a:effectLst>
        </c:spPr>
      </c:pivotFmt>
      <c:pivotFmt>
        <c:idx val="4"/>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a:noFill/>
          </a:ln>
          <a:effectLst>
            <a:outerShdw blurRad="317500" algn="ctr" rotWithShape="0">
              <a:prstClr val="black">
                <a:alpha val="25000"/>
              </a:prstClr>
            </a:outerShdw>
          </a:effectLst>
        </c:spPr>
      </c:pivotFmt>
      <c:pivotFmt>
        <c:idx val="6"/>
        <c:spPr>
          <a:solidFill>
            <a:schemeClr val="accent1"/>
          </a:solidFill>
          <a:ln>
            <a:noFill/>
          </a:ln>
          <a:effectLst>
            <a:outerShdw blurRad="317500" algn="ctr" rotWithShape="0">
              <a:prstClr val="black">
                <a:alpha val="25000"/>
              </a:prstClr>
            </a:outerShdw>
          </a:effectLst>
        </c:spPr>
        <c:dLbl>
          <c:idx val="0"/>
          <c:layout>
            <c:manualLayout>
              <c:x val="1.8046713277869254E-2"/>
              <c:y val="-2.2576362992363694E-2"/>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s>
    <c:plotArea>
      <c:layout>
        <c:manualLayout>
          <c:layoutTarget val="inner"/>
          <c:xMode val="edge"/>
          <c:yMode val="edge"/>
          <c:x val="0.22061503056750875"/>
          <c:y val="0.1462939433573274"/>
          <c:w val="0.59945000154533867"/>
          <c:h val="0.74990945011890364"/>
        </c:manualLayout>
      </c:layout>
      <c:doughnutChart>
        <c:varyColors val="1"/>
        <c:ser>
          <c:idx val="0"/>
          <c:order val="0"/>
          <c:tx>
            <c:strRef>
              <c:f>'Pivot Report'!$B$77</c:f>
              <c:strCache>
                <c:ptCount val="1"/>
                <c:pt idx="0">
                  <c:v>Total</c:v>
                </c:pt>
              </c:strCache>
            </c:strRef>
          </c:tx>
          <c:spPr>
            <a:effectLst>
              <a:outerShdw blurRad="317500" algn="ctr" rotWithShape="0">
                <a:prstClr val="black">
                  <a:alpha val="25000"/>
                </a:prstClr>
              </a:outerShdw>
            </a:effectLst>
          </c:spPr>
          <c:explosion val="1"/>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4C70-412A-A6FC-03C19A9D35D9}"/>
              </c:ext>
            </c:extLst>
          </c:dPt>
          <c:dPt>
            <c:idx val="1"/>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4C70-412A-A6FC-03C19A9D35D9}"/>
              </c:ext>
            </c:extLst>
          </c:dPt>
          <c:dLbls>
            <c:dLbl>
              <c:idx val="1"/>
              <c:layout>
                <c:manualLayout>
                  <c:x val="1.8046713277869254E-2"/>
                  <c:y val="-2.2576362992363694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4C70-412A-A6FC-03C19A9D35D9}"/>
                </c:ext>
              </c:extLst>
            </c:dLbl>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'Pivot Report'!$A$78:$A$80</c:f>
              <c:strCache>
                <c:ptCount val="2"/>
                <c:pt idx="0">
                  <c:v>Female</c:v>
                </c:pt>
                <c:pt idx="1">
                  <c:v>Male</c:v>
                </c:pt>
              </c:strCache>
            </c:strRef>
          </c:cat>
          <c:val>
            <c:numRef>
              <c:f>'Pivot Report'!$B$78:$B$80</c:f>
              <c:numCache>
                <c:formatCode>General</c:formatCode>
                <c:ptCount val="2"/>
                <c:pt idx="0">
                  <c:v>194</c:v>
                </c:pt>
                <c:pt idx="1">
                  <c:v>237</c:v>
                </c:pt>
              </c:numCache>
            </c:numRef>
          </c:val>
          <c:extLst>
            <c:ext xmlns:c16="http://schemas.microsoft.com/office/drawing/2014/chart" uri="{C3380CC4-5D6E-409C-BE32-E72D297353CC}">
              <c16:uniqueId val="{00000004-4C70-412A-A6FC-03C19A9D35D9}"/>
            </c:ext>
          </c:extLst>
        </c:ser>
        <c:dLbls>
          <c:showLegendKey val="0"/>
          <c:showVal val="0"/>
          <c:showCatName val="0"/>
          <c:showSerName val="0"/>
          <c:showPercent val="1"/>
          <c:showBubbleSize val="0"/>
          <c:showLeaderLines val="1"/>
        </c:dLbls>
        <c:firstSliceAng val="0"/>
        <c:holeSize val="38"/>
      </c:doughnutChart>
      <c:spPr>
        <a:noFill/>
        <a:ln>
          <a:noFill/>
        </a:ln>
        <a:effectLst/>
      </c:spPr>
    </c:plotArea>
    <c:legend>
      <c:legendPos val="r"/>
      <c:legendEntry>
        <c:idx val="0"/>
        <c:txPr>
          <a:bodyPr rot="0" spcFirstLastPara="1" vertOverflow="ellipsis" vert="horz" wrap="square" anchor="ctr" anchorCtr="1"/>
          <a:lstStyle/>
          <a:p>
            <a:pPr>
              <a:defRPr sz="1200" b="0" i="0" u="none" strike="noStrike" kern="1200" baseline="0">
                <a:solidFill>
                  <a:schemeClr val="dk1">
                    <a:lumMod val="65000"/>
                    <a:lumOff val="35000"/>
                  </a:schemeClr>
                </a:solidFill>
                <a:latin typeface="+mn-lt"/>
                <a:ea typeface="+mn-ea"/>
                <a:cs typeface="+mn-cs"/>
              </a:defRPr>
            </a:pPr>
            <a:endParaRPr lang="en-US"/>
          </a:p>
        </c:txPr>
      </c:legendEntry>
      <c:legendEntry>
        <c:idx val="1"/>
        <c:txPr>
          <a:bodyPr rot="0" spcFirstLastPara="1" vertOverflow="ellipsis" vert="horz" wrap="square" anchor="ctr" anchorCtr="1"/>
          <a:lstStyle/>
          <a:p>
            <a:pPr>
              <a:defRPr sz="1200" b="0" i="0" u="none" strike="noStrike" kern="1200" baseline="0">
                <a:solidFill>
                  <a:schemeClr val="dk1">
                    <a:lumMod val="65000"/>
                    <a:lumOff val="35000"/>
                  </a:schemeClr>
                </a:solidFill>
                <a:latin typeface="+mn-lt"/>
                <a:ea typeface="+mn-ea"/>
                <a:cs typeface="+mn-cs"/>
              </a:defRPr>
            </a:pPr>
            <a:endParaRPr lang="en-US"/>
          </a:p>
        </c:txPr>
      </c:legendEntry>
      <c:layout>
        <c:manualLayout>
          <c:xMode val="edge"/>
          <c:yMode val="edge"/>
          <c:x val="0.19541430257627251"/>
          <c:y val="1.4595802090029867E-2"/>
          <c:w val="0.5937854685394055"/>
          <c:h val="0.15625109361329836"/>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Dashboard.xlsx]Pivot Report!PivotTable11</c:name>
    <c:fmtId val="28"/>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ext>
          </c:extLst>
        </c:dLbl>
      </c:pivotFmt>
    </c:pivotFmts>
    <c:plotArea>
      <c:layout>
        <c:manualLayout>
          <c:layoutTarget val="inner"/>
          <c:xMode val="edge"/>
          <c:yMode val="edge"/>
          <c:x val="0.23701989511126614"/>
          <c:y val="3.0797109436657599E-2"/>
          <c:w val="0.72996456678863741"/>
          <c:h val="0.89640972280396991"/>
        </c:manualLayout>
      </c:layout>
      <c:barChart>
        <c:barDir val="bar"/>
        <c:grouping val="clustered"/>
        <c:varyColors val="0"/>
        <c:ser>
          <c:idx val="0"/>
          <c:order val="0"/>
          <c:tx>
            <c:strRef>
              <c:f>'Pivot Report'!$B$86</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ect">
                    <a:avLst/>
                  </a:prstGeom>
                </c15:spPr>
                <c15:showLeaderLines val="1"/>
                <c15:leaderLines>
                  <c:spPr>
                    <a:ln w="9525" cap="flat" cmpd="sng" algn="ctr">
                      <a:solidFill>
                        <a:schemeClr val="tx1">
                          <a:lumMod val="35000"/>
                          <a:lumOff val="65000"/>
                        </a:schemeClr>
                      </a:solidFill>
                      <a:round/>
                    </a:ln>
                    <a:effectLst/>
                  </c:spPr>
                </c15:leaderLines>
              </c:ext>
            </c:extLst>
          </c:dLbls>
          <c:cat>
            <c:strRef>
              <c:f>'Pivot Report'!$A$87:$A$95</c:f>
              <c:strCache>
                <c:ptCount val="8"/>
                <c:pt idx="0">
                  <c:v>Neurology</c:v>
                </c:pt>
                <c:pt idx="1">
                  <c:v>Gastroenterology</c:v>
                </c:pt>
                <c:pt idx="2">
                  <c:v>Renal</c:v>
                </c:pt>
                <c:pt idx="3">
                  <c:v>Cardiology</c:v>
                </c:pt>
                <c:pt idx="4">
                  <c:v>Physiotherapy</c:v>
                </c:pt>
                <c:pt idx="5">
                  <c:v>Orthopedics</c:v>
                </c:pt>
                <c:pt idx="6">
                  <c:v>General Practice</c:v>
                </c:pt>
                <c:pt idx="7">
                  <c:v>None</c:v>
                </c:pt>
              </c:strCache>
            </c:strRef>
          </c:cat>
          <c:val>
            <c:numRef>
              <c:f>'Pivot Report'!$B$87:$B$95</c:f>
              <c:numCache>
                <c:formatCode>General</c:formatCode>
                <c:ptCount val="8"/>
                <c:pt idx="0">
                  <c:v>6</c:v>
                </c:pt>
                <c:pt idx="1">
                  <c:v>6</c:v>
                </c:pt>
                <c:pt idx="2">
                  <c:v>6</c:v>
                </c:pt>
                <c:pt idx="3">
                  <c:v>12</c:v>
                </c:pt>
                <c:pt idx="4">
                  <c:v>14</c:v>
                </c:pt>
                <c:pt idx="5">
                  <c:v>46</c:v>
                </c:pt>
                <c:pt idx="6">
                  <c:v>89</c:v>
                </c:pt>
                <c:pt idx="7">
                  <c:v>252</c:v>
                </c:pt>
              </c:numCache>
            </c:numRef>
          </c:val>
          <c:extLst>
            <c:ext xmlns:c16="http://schemas.microsoft.com/office/drawing/2014/chart" uri="{C3380CC4-5D6E-409C-BE32-E72D297353CC}">
              <c16:uniqueId val="{00000000-0B2A-43F4-8AF3-A1A7FB93E3B6}"/>
            </c:ext>
          </c:extLst>
        </c:ser>
        <c:dLbls>
          <c:showLegendKey val="0"/>
          <c:showVal val="0"/>
          <c:showCatName val="0"/>
          <c:showSerName val="0"/>
          <c:showPercent val="0"/>
          <c:showBubbleSize val="0"/>
        </c:dLbls>
        <c:gapWidth val="77"/>
        <c:axId val="2065620864"/>
        <c:axId val="2065623744"/>
      </c:barChart>
      <c:catAx>
        <c:axId val="206562086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65623744"/>
        <c:crosses val="autoZero"/>
        <c:auto val="1"/>
        <c:lblAlgn val="ctr"/>
        <c:lblOffset val="100"/>
        <c:noMultiLvlLbl val="0"/>
      </c:catAx>
      <c:valAx>
        <c:axId val="2065623744"/>
        <c:scaling>
          <c:orientation val="minMax"/>
        </c:scaling>
        <c:delete val="1"/>
        <c:axPos val="b"/>
        <c:numFmt formatCode="General" sourceLinked="1"/>
        <c:majorTickMark val="none"/>
        <c:minorTickMark val="none"/>
        <c:tickLblPos val="nextTo"/>
        <c:crossAx val="206562086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Dashboard.xlsx]Pivot Report!PivotTable4</c:name>
    <c:fmtId val="5"/>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a:gsLst>
              <a:gs pos="0">
                <a:schemeClr val="lt1">
                  <a:alpha val="50000"/>
                </a:schemeClr>
              </a:gs>
              <a:gs pos="100000">
                <a:schemeClr val="lt1">
                  <a:alpha val="0"/>
                </a:schemeClr>
              </a:gs>
            </a:gsLst>
            <a:lin ang="5400000" scaled="0"/>
          </a:gradFill>
          <a:ln>
            <a:solidFill>
              <a:schemeClr val="accent2"/>
            </a:solidFill>
          </a:ln>
          <a:effectLst>
            <a:innerShdw dist="381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4761946117029484E-2"/>
          <c:y val="0.12494356415324627"/>
          <c:w val="0.87656496062992129"/>
          <c:h val="0.68897826814858021"/>
        </c:manualLayout>
      </c:layout>
      <c:areaChart>
        <c:grouping val="standard"/>
        <c:varyColors val="0"/>
        <c:ser>
          <c:idx val="0"/>
          <c:order val="0"/>
          <c:tx>
            <c:strRef>
              <c:f>'Pivot Report'!$E$3</c:f>
              <c:strCache>
                <c:ptCount val="1"/>
                <c:pt idx="0">
                  <c:v>Total</c:v>
                </c:pt>
              </c:strCache>
            </c:strRef>
          </c:tx>
          <c:spPr>
            <a:gradFill>
              <a:gsLst>
                <a:gs pos="0">
                  <a:schemeClr val="lt1">
                    <a:alpha val="50000"/>
                  </a:schemeClr>
                </a:gs>
                <a:gs pos="100000">
                  <a:schemeClr val="lt1">
                    <a:alpha val="0"/>
                  </a:schemeClr>
                </a:gs>
              </a:gsLst>
              <a:lin ang="5400000" scaled="0"/>
            </a:gradFill>
            <a:ln>
              <a:solidFill>
                <a:schemeClr val="accent2"/>
              </a:solidFill>
            </a:ln>
            <a:effectLst>
              <a:innerShdw dist="38100" dir="16200000">
                <a:schemeClr val="lt1"/>
              </a:innerShdw>
            </a:effectLst>
          </c:spP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2">
                          <a:lumMod val="60000"/>
                          <a:lumOff val="40000"/>
                        </a:schemeClr>
                      </a:solidFill>
                    </a:ln>
                    <a:effectLst/>
                  </c:spPr>
                </c15:leaderLines>
              </c:ext>
            </c:extLst>
          </c:dLbls>
          <c:cat>
            <c:strRef>
              <c:f>'Pivot Report'!$D$4:$D$33</c:f>
              <c:strCache>
                <c:ptCount val="29"/>
                <c:pt idx="0">
                  <c:v>1-Feb</c:v>
                </c:pt>
                <c:pt idx="1">
                  <c:v>2-Feb</c:v>
                </c:pt>
                <c:pt idx="2">
                  <c:v>3-Feb</c:v>
                </c:pt>
                <c:pt idx="3">
                  <c:v>4-Feb</c:v>
                </c:pt>
                <c:pt idx="4">
                  <c:v>5-Feb</c:v>
                </c:pt>
                <c:pt idx="5">
                  <c:v>6-Feb</c:v>
                </c:pt>
                <c:pt idx="6">
                  <c:v>7-Feb</c:v>
                </c:pt>
                <c:pt idx="7">
                  <c:v>8-Feb</c:v>
                </c:pt>
                <c:pt idx="8">
                  <c:v>9-Feb</c:v>
                </c:pt>
                <c:pt idx="9">
                  <c:v>10-Feb</c:v>
                </c:pt>
                <c:pt idx="10">
                  <c:v>11-Feb</c:v>
                </c:pt>
                <c:pt idx="11">
                  <c:v>12-Feb</c:v>
                </c:pt>
                <c:pt idx="12">
                  <c:v>13-Feb</c:v>
                </c:pt>
                <c:pt idx="13">
                  <c:v>14-Feb</c:v>
                </c:pt>
                <c:pt idx="14">
                  <c:v>15-Feb</c:v>
                </c:pt>
                <c:pt idx="15">
                  <c:v>16-Feb</c:v>
                </c:pt>
                <c:pt idx="16">
                  <c:v>17-Feb</c:v>
                </c:pt>
                <c:pt idx="17">
                  <c:v>18-Feb</c:v>
                </c:pt>
                <c:pt idx="18">
                  <c:v>19-Feb</c:v>
                </c:pt>
                <c:pt idx="19">
                  <c:v>20-Feb</c:v>
                </c:pt>
                <c:pt idx="20">
                  <c:v>21-Feb</c:v>
                </c:pt>
                <c:pt idx="21">
                  <c:v>22-Feb</c:v>
                </c:pt>
                <c:pt idx="22">
                  <c:v>23-Feb</c:v>
                </c:pt>
                <c:pt idx="23">
                  <c:v>24-Feb</c:v>
                </c:pt>
                <c:pt idx="24">
                  <c:v>25-Feb</c:v>
                </c:pt>
                <c:pt idx="25">
                  <c:v>26-Feb</c:v>
                </c:pt>
                <c:pt idx="26">
                  <c:v>27-Feb</c:v>
                </c:pt>
                <c:pt idx="27">
                  <c:v>28-Feb</c:v>
                </c:pt>
                <c:pt idx="28">
                  <c:v>29-Feb</c:v>
                </c:pt>
              </c:strCache>
            </c:strRef>
          </c:cat>
          <c:val>
            <c:numRef>
              <c:f>'Pivot Report'!$E$4:$E$33</c:f>
              <c:numCache>
                <c:formatCode>General</c:formatCode>
                <c:ptCount val="29"/>
                <c:pt idx="0">
                  <c:v>13</c:v>
                </c:pt>
                <c:pt idx="1">
                  <c:v>10</c:v>
                </c:pt>
                <c:pt idx="2">
                  <c:v>8</c:v>
                </c:pt>
                <c:pt idx="3">
                  <c:v>12</c:v>
                </c:pt>
                <c:pt idx="4">
                  <c:v>19</c:v>
                </c:pt>
                <c:pt idx="5">
                  <c:v>9</c:v>
                </c:pt>
                <c:pt idx="6">
                  <c:v>13</c:v>
                </c:pt>
                <c:pt idx="7">
                  <c:v>19</c:v>
                </c:pt>
                <c:pt idx="8">
                  <c:v>10</c:v>
                </c:pt>
                <c:pt idx="9">
                  <c:v>20</c:v>
                </c:pt>
                <c:pt idx="10">
                  <c:v>15</c:v>
                </c:pt>
                <c:pt idx="11">
                  <c:v>13</c:v>
                </c:pt>
                <c:pt idx="12">
                  <c:v>9</c:v>
                </c:pt>
                <c:pt idx="13">
                  <c:v>19</c:v>
                </c:pt>
                <c:pt idx="14">
                  <c:v>14</c:v>
                </c:pt>
                <c:pt idx="15">
                  <c:v>17</c:v>
                </c:pt>
                <c:pt idx="16">
                  <c:v>17</c:v>
                </c:pt>
                <c:pt idx="17">
                  <c:v>15</c:v>
                </c:pt>
                <c:pt idx="18">
                  <c:v>9</c:v>
                </c:pt>
                <c:pt idx="19">
                  <c:v>14</c:v>
                </c:pt>
                <c:pt idx="20">
                  <c:v>22</c:v>
                </c:pt>
                <c:pt idx="21">
                  <c:v>16</c:v>
                </c:pt>
                <c:pt idx="22">
                  <c:v>22</c:v>
                </c:pt>
                <c:pt idx="23">
                  <c:v>12</c:v>
                </c:pt>
                <c:pt idx="24">
                  <c:v>20</c:v>
                </c:pt>
                <c:pt idx="25">
                  <c:v>18</c:v>
                </c:pt>
                <c:pt idx="26">
                  <c:v>18</c:v>
                </c:pt>
                <c:pt idx="27">
                  <c:v>13</c:v>
                </c:pt>
                <c:pt idx="28">
                  <c:v>15</c:v>
                </c:pt>
              </c:numCache>
            </c:numRef>
          </c:val>
          <c:extLst>
            <c:ext xmlns:c16="http://schemas.microsoft.com/office/drawing/2014/chart" uri="{C3380CC4-5D6E-409C-BE32-E72D297353CC}">
              <c16:uniqueId val="{00000000-2E0F-49A1-B9AA-3955ABEE9919}"/>
            </c:ext>
          </c:extLst>
        </c:ser>
        <c:dLbls>
          <c:showLegendKey val="0"/>
          <c:showVal val="1"/>
          <c:showCatName val="0"/>
          <c:showSerName val="0"/>
          <c:showPercent val="0"/>
          <c:showBubbleSize val="0"/>
        </c:dLbls>
        <c:dropLines>
          <c:spPr>
            <a:ln w="9525" cap="flat" cmpd="sng" algn="ctr">
              <a:gradFill>
                <a:gsLst>
                  <a:gs pos="0">
                    <a:schemeClr val="lt1"/>
                  </a:gs>
                  <a:gs pos="50000">
                    <a:schemeClr val="lt1">
                      <a:alpha val="0"/>
                    </a:schemeClr>
                  </a:gs>
                </a:gsLst>
                <a:lin ang="5400000" scaled="0"/>
              </a:gradFill>
              <a:round/>
            </a:ln>
            <a:effectLst/>
          </c:spPr>
        </c:dropLines>
        <c:axId val="39066576"/>
        <c:axId val="39062256"/>
      </c:areaChart>
      <c:catAx>
        <c:axId val="39066576"/>
        <c:scaling>
          <c:orientation val="minMax"/>
        </c:scaling>
        <c:delete val="0"/>
        <c:axPos val="b"/>
        <c:numFmt formatCode="General" sourceLinked="1"/>
        <c:majorTickMark val="none"/>
        <c:minorTickMark val="none"/>
        <c:tickLblPos val="nextTo"/>
        <c:spPr>
          <a:noFill/>
          <a:ln w="9525" cap="flat" cmpd="sng" algn="ctr">
            <a:solidFill>
              <a:schemeClr val="accent2">
                <a:lumMod val="40000"/>
                <a:lumOff val="60000"/>
                <a:alpha val="25000"/>
              </a:schemeClr>
            </a:solidFill>
            <a:round/>
          </a:ln>
          <a:effectLst/>
        </c:spPr>
        <c:txPr>
          <a:bodyPr rot="-5400000" spcFirstLastPara="1" vertOverflow="ellipsis" wrap="square" anchor="ctr" anchorCtr="1"/>
          <a:lstStyle/>
          <a:p>
            <a:pPr>
              <a:defRPr sz="900" b="0" i="0" u="none" strike="noStrike" kern="1200" baseline="0">
                <a:solidFill>
                  <a:schemeClr val="lt1"/>
                </a:solidFill>
                <a:latin typeface="+mn-lt"/>
                <a:ea typeface="+mn-ea"/>
                <a:cs typeface="+mn-cs"/>
              </a:defRPr>
            </a:pPr>
            <a:endParaRPr lang="en-US"/>
          </a:p>
        </c:txPr>
        <c:crossAx val="39062256"/>
        <c:crosses val="autoZero"/>
        <c:auto val="1"/>
        <c:lblAlgn val="ctr"/>
        <c:lblOffset val="100"/>
        <c:noMultiLvlLbl val="0"/>
      </c:catAx>
      <c:valAx>
        <c:axId val="39062256"/>
        <c:scaling>
          <c:orientation val="minMax"/>
        </c:scaling>
        <c:delete val="1"/>
        <c:axPos val="l"/>
        <c:numFmt formatCode="General" sourceLinked="1"/>
        <c:majorTickMark val="out"/>
        <c:minorTickMark val="none"/>
        <c:tickLblPos val="nextTo"/>
        <c:crossAx val="39066576"/>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accent2"/>
    </a:solidFill>
    <a:ln w="9525" cap="flat" cmpd="sng" algn="ctr">
      <a:solidFill>
        <a:schemeClr val="accent2"/>
      </a:solidFill>
      <a:round/>
    </a:ln>
    <a:effectLst/>
  </c:spPr>
  <c:txPr>
    <a:bodyPr anchor="t" anchorCtr="0"/>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Dashboard.xlsx]Pivot Report!PivotTable5</c:name>
    <c:fmtId val="15"/>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a:gsLst>
              <a:gs pos="0">
                <a:schemeClr val="lt1">
                  <a:alpha val="50000"/>
                </a:schemeClr>
              </a:gs>
              <a:gs pos="100000">
                <a:schemeClr val="lt1">
                  <a:alpha val="0"/>
                </a:schemeClr>
              </a:gs>
            </a:gsLst>
            <a:lin ang="5400000" scaled="0"/>
          </a:gradFill>
          <a:ln>
            <a:solidFill>
              <a:schemeClr val="accent2"/>
            </a:solidFill>
          </a:ln>
          <a:effectLst>
            <a:innerShdw dist="381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9519250249833255E-2"/>
          <c:y val="5.0230686195540795E-2"/>
          <c:w val="0.93612463663204282"/>
          <c:h val="0.80832059353749885"/>
        </c:manualLayout>
      </c:layout>
      <c:areaChart>
        <c:grouping val="standard"/>
        <c:varyColors val="0"/>
        <c:ser>
          <c:idx val="0"/>
          <c:order val="0"/>
          <c:tx>
            <c:strRef>
              <c:f>'Pivot Report'!$I$3</c:f>
              <c:strCache>
                <c:ptCount val="1"/>
                <c:pt idx="0">
                  <c:v>Total</c:v>
                </c:pt>
              </c:strCache>
            </c:strRef>
          </c:tx>
          <c:spPr>
            <a:gradFill>
              <a:gsLst>
                <a:gs pos="0">
                  <a:schemeClr val="lt1">
                    <a:alpha val="50000"/>
                  </a:schemeClr>
                </a:gs>
                <a:gs pos="100000">
                  <a:schemeClr val="lt1">
                    <a:alpha val="0"/>
                  </a:schemeClr>
                </a:gs>
              </a:gsLst>
              <a:lin ang="5400000" scaled="0"/>
            </a:gradFill>
            <a:ln>
              <a:solidFill>
                <a:schemeClr val="accent2"/>
              </a:solidFill>
            </a:ln>
            <a:effectLst>
              <a:innerShdw dist="38100" dir="16200000">
                <a:schemeClr val="lt1"/>
              </a:innerShdw>
            </a:effectLst>
          </c:spP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2">
                          <a:lumMod val="60000"/>
                          <a:lumOff val="40000"/>
                        </a:schemeClr>
                      </a:solidFill>
                    </a:ln>
                    <a:effectLst/>
                  </c:spPr>
                </c15:leaderLines>
              </c:ext>
            </c:extLst>
          </c:dLbls>
          <c:cat>
            <c:strRef>
              <c:f>'Pivot Report'!$H$4:$H$33</c:f>
              <c:strCache>
                <c:ptCount val="29"/>
                <c:pt idx="0">
                  <c:v>1-Feb</c:v>
                </c:pt>
                <c:pt idx="1">
                  <c:v>2-Feb</c:v>
                </c:pt>
                <c:pt idx="2">
                  <c:v>3-Feb</c:v>
                </c:pt>
                <c:pt idx="3">
                  <c:v>4-Feb</c:v>
                </c:pt>
                <c:pt idx="4">
                  <c:v>5-Feb</c:v>
                </c:pt>
                <c:pt idx="5">
                  <c:v>6-Feb</c:v>
                </c:pt>
                <c:pt idx="6">
                  <c:v>7-Feb</c:v>
                </c:pt>
                <c:pt idx="7">
                  <c:v>8-Feb</c:v>
                </c:pt>
                <c:pt idx="8">
                  <c:v>9-Feb</c:v>
                </c:pt>
                <c:pt idx="9">
                  <c:v>10-Feb</c:v>
                </c:pt>
                <c:pt idx="10">
                  <c:v>11-Feb</c:v>
                </c:pt>
                <c:pt idx="11">
                  <c:v>12-Feb</c:v>
                </c:pt>
                <c:pt idx="12">
                  <c:v>13-Feb</c:v>
                </c:pt>
                <c:pt idx="13">
                  <c:v>14-Feb</c:v>
                </c:pt>
                <c:pt idx="14">
                  <c:v>15-Feb</c:v>
                </c:pt>
                <c:pt idx="15">
                  <c:v>16-Feb</c:v>
                </c:pt>
                <c:pt idx="16">
                  <c:v>17-Feb</c:v>
                </c:pt>
                <c:pt idx="17">
                  <c:v>18-Feb</c:v>
                </c:pt>
                <c:pt idx="18">
                  <c:v>19-Feb</c:v>
                </c:pt>
                <c:pt idx="19">
                  <c:v>20-Feb</c:v>
                </c:pt>
                <c:pt idx="20">
                  <c:v>21-Feb</c:v>
                </c:pt>
                <c:pt idx="21">
                  <c:v>22-Feb</c:v>
                </c:pt>
                <c:pt idx="22">
                  <c:v>23-Feb</c:v>
                </c:pt>
                <c:pt idx="23">
                  <c:v>24-Feb</c:v>
                </c:pt>
                <c:pt idx="24">
                  <c:v>25-Feb</c:v>
                </c:pt>
                <c:pt idx="25">
                  <c:v>26-Feb</c:v>
                </c:pt>
                <c:pt idx="26">
                  <c:v>27-Feb</c:v>
                </c:pt>
                <c:pt idx="27">
                  <c:v>28-Feb</c:v>
                </c:pt>
                <c:pt idx="28">
                  <c:v>29-Feb</c:v>
                </c:pt>
              </c:strCache>
            </c:strRef>
          </c:cat>
          <c:val>
            <c:numRef>
              <c:f>'Pivot Report'!$I$4:$I$33</c:f>
              <c:numCache>
                <c:formatCode>0.00</c:formatCode>
                <c:ptCount val="29"/>
                <c:pt idx="0">
                  <c:v>35.692307692307693</c:v>
                </c:pt>
                <c:pt idx="1">
                  <c:v>45.4</c:v>
                </c:pt>
                <c:pt idx="2">
                  <c:v>29.375</c:v>
                </c:pt>
                <c:pt idx="3">
                  <c:v>34.583333333333336</c:v>
                </c:pt>
                <c:pt idx="4">
                  <c:v>38.684210526315788</c:v>
                </c:pt>
                <c:pt idx="5">
                  <c:v>34.777777777777779</c:v>
                </c:pt>
                <c:pt idx="6">
                  <c:v>37.307692307692307</c:v>
                </c:pt>
                <c:pt idx="7">
                  <c:v>35.631578947368418</c:v>
                </c:pt>
                <c:pt idx="8">
                  <c:v>36.6</c:v>
                </c:pt>
                <c:pt idx="9">
                  <c:v>39.700000000000003</c:v>
                </c:pt>
                <c:pt idx="10">
                  <c:v>37.4</c:v>
                </c:pt>
                <c:pt idx="11">
                  <c:v>27.76923076923077</c:v>
                </c:pt>
                <c:pt idx="12">
                  <c:v>38.777777777777779</c:v>
                </c:pt>
                <c:pt idx="13">
                  <c:v>31</c:v>
                </c:pt>
                <c:pt idx="14">
                  <c:v>35.928571428571431</c:v>
                </c:pt>
                <c:pt idx="15">
                  <c:v>37.882352941176471</c:v>
                </c:pt>
                <c:pt idx="16">
                  <c:v>40.588235294117645</c:v>
                </c:pt>
                <c:pt idx="17">
                  <c:v>34.533333333333331</c:v>
                </c:pt>
                <c:pt idx="18">
                  <c:v>40.333333333333336</c:v>
                </c:pt>
                <c:pt idx="19">
                  <c:v>35.285714285714285</c:v>
                </c:pt>
                <c:pt idx="20">
                  <c:v>35.5</c:v>
                </c:pt>
                <c:pt idx="21">
                  <c:v>38.5625</c:v>
                </c:pt>
                <c:pt idx="22">
                  <c:v>42.727272727272727</c:v>
                </c:pt>
                <c:pt idx="23">
                  <c:v>37.416666666666664</c:v>
                </c:pt>
                <c:pt idx="24">
                  <c:v>32.450000000000003</c:v>
                </c:pt>
                <c:pt idx="25">
                  <c:v>40.055555555555557</c:v>
                </c:pt>
                <c:pt idx="26">
                  <c:v>31.666666666666668</c:v>
                </c:pt>
                <c:pt idx="27">
                  <c:v>39.769230769230766</c:v>
                </c:pt>
                <c:pt idx="28">
                  <c:v>36.733333333333334</c:v>
                </c:pt>
              </c:numCache>
            </c:numRef>
          </c:val>
          <c:extLst>
            <c:ext xmlns:c16="http://schemas.microsoft.com/office/drawing/2014/chart" uri="{C3380CC4-5D6E-409C-BE32-E72D297353CC}">
              <c16:uniqueId val="{00000000-E495-4951-BE16-D3FAE45AFA0C}"/>
            </c:ext>
          </c:extLst>
        </c:ser>
        <c:dLbls>
          <c:showLegendKey val="0"/>
          <c:showVal val="1"/>
          <c:showCatName val="0"/>
          <c:showSerName val="0"/>
          <c:showPercent val="0"/>
          <c:showBubbleSize val="0"/>
        </c:dLbls>
        <c:dropLines>
          <c:spPr>
            <a:ln w="9525" cap="flat" cmpd="sng" algn="ctr">
              <a:gradFill>
                <a:gsLst>
                  <a:gs pos="0">
                    <a:schemeClr val="lt1"/>
                  </a:gs>
                  <a:gs pos="50000">
                    <a:schemeClr val="lt1">
                      <a:alpha val="0"/>
                    </a:schemeClr>
                  </a:gs>
                </a:gsLst>
                <a:lin ang="5400000" scaled="0"/>
              </a:gradFill>
              <a:round/>
            </a:ln>
            <a:effectLst/>
          </c:spPr>
        </c:dropLines>
        <c:axId val="203959424"/>
        <c:axId val="203969024"/>
      </c:areaChart>
      <c:catAx>
        <c:axId val="203959424"/>
        <c:scaling>
          <c:orientation val="minMax"/>
        </c:scaling>
        <c:delete val="0"/>
        <c:axPos val="b"/>
        <c:numFmt formatCode="General" sourceLinked="1"/>
        <c:majorTickMark val="none"/>
        <c:minorTickMark val="none"/>
        <c:tickLblPos val="nextTo"/>
        <c:spPr>
          <a:noFill/>
          <a:ln w="9525" cap="flat" cmpd="sng" algn="ctr">
            <a:solidFill>
              <a:schemeClr val="accent2">
                <a:lumMod val="40000"/>
                <a:lumOff val="60000"/>
                <a:alpha val="25000"/>
              </a:schemeClr>
            </a:solidFill>
            <a:round/>
          </a:ln>
          <a:effectLst/>
        </c:spPr>
        <c:txPr>
          <a:bodyPr rot="-5400000" spcFirstLastPara="1" vertOverflow="ellipsis" wrap="square" anchor="ctr" anchorCtr="1"/>
          <a:lstStyle/>
          <a:p>
            <a:pPr>
              <a:defRPr sz="900" b="0" i="0" u="none" strike="noStrike" kern="1200" baseline="0">
                <a:solidFill>
                  <a:schemeClr val="lt1"/>
                </a:solidFill>
                <a:latin typeface="+mn-lt"/>
                <a:ea typeface="+mn-ea"/>
                <a:cs typeface="+mn-cs"/>
              </a:defRPr>
            </a:pPr>
            <a:endParaRPr lang="en-US"/>
          </a:p>
        </c:txPr>
        <c:crossAx val="203969024"/>
        <c:crosses val="autoZero"/>
        <c:auto val="1"/>
        <c:lblAlgn val="ctr"/>
        <c:lblOffset val="100"/>
        <c:noMultiLvlLbl val="0"/>
      </c:catAx>
      <c:valAx>
        <c:axId val="203969024"/>
        <c:scaling>
          <c:orientation val="minMax"/>
        </c:scaling>
        <c:delete val="1"/>
        <c:axPos val="l"/>
        <c:numFmt formatCode="0.00" sourceLinked="1"/>
        <c:majorTickMark val="out"/>
        <c:minorTickMark val="none"/>
        <c:tickLblPos val="nextTo"/>
        <c:crossAx val="203959424"/>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accent2"/>
    </a:solidFill>
    <a:ln w="9525" cap="flat" cmpd="sng" algn="ctr">
      <a:solidFill>
        <a:schemeClr val="accent2"/>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Dashboard.xlsx]Pivot Report!PivotTable6</c:name>
    <c:fmtId val="32"/>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a:gsLst>
              <a:gs pos="0">
                <a:schemeClr val="lt1">
                  <a:alpha val="50000"/>
                </a:schemeClr>
              </a:gs>
              <a:gs pos="100000">
                <a:schemeClr val="lt1">
                  <a:alpha val="0"/>
                </a:schemeClr>
              </a:gs>
            </a:gsLst>
            <a:lin ang="5400000" scaled="0"/>
          </a:gradFill>
          <a:ln>
            <a:solidFill>
              <a:schemeClr val="accent2"/>
            </a:solidFill>
          </a:ln>
          <a:effectLst>
            <a:innerShdw dist="381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17516231523691E-2"/>
          <c:y val="0.14550264550264549"/>
          <c:w val="0.92360201685315646"/>
          <c:h val="0.73148720993209193"/>
        </c:manualLayout>
      </c:layout>
      <c:areaChart>
        <c:grouping val="standard"/>
        <c:varyColors val="0"/>
        <c:ser>
          <c:idx val="0"/>
          <c:order val="0"/>
          <c:tx>
            <c:strRef>
              <c:f>'Pivot Report'!$L$3</c:f>
              <c:strCache>
                <c:ptCount val="1"/>
                <c:pt idx="0">
                  <c:v>Total</c:v>
                </c:pt>
              </c:strCache>
            </c:strRef>
          </c:tx>
          <c:spPr>
            <a:gradFill>
              <a:gsLst>
                <a:gs pos="0">
                  <a:schemeClr val="lt1">
                    <a:alpha val="50000"/>
                  </a:schemeClr>
                </a:gs>
                <a:gs pos="100000">
                  <a:schemeClr val="lt1">
                    <a:alpha val="0"/>
                  </a:schemeClr>
                </a:gs>
              </a:gsLst>
              <a:lin ang="5400000" scaled="0"/>
            </a:gradFill>
            <a:ln>
              <a:solidFill>
                <a:schemeClr val="accent2"/>
              </a:solidFill>
            </a:ln>
            <a:effectLst>
              <a:innerShdw dist="38100" dir="16200000">
                <a:schemeClr val="lt1"/>
              </a:innerShdw>
            </a:effectLst>
          </c:spP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2">
                          <a:lumMod val="60000"/>
                          <a:lumOff val="40000"/>
                        </a:schemeClr>
                      </a:solidFill>
                    </a:ln>
                    <a:effectLst/>
                  </c:spPr>
                </c15:leaderLines>
              </c:ext>
            </c:extLst>
          </c:dLbls>
          <c:cat>
            <c:strRef>
              <c:f>'Pivot Report'!$K$4:$K$32</c:f>
              <c:strCache>
                <c:ptCount val="28"/>
                <c:pt idx="0">
                  <c:v>1-Feb</c:v>
                </c:pt>
                <c:pt idx="1">
                  <c:v>2-Feb</c:v>
                </c:pt>
                <c:pt idx="2">
                  <c:v>3-Feb</c:v>
                </c:pt>
                <c:pt idx="3">
                  <c:v>4-Feb</c:v>
                </c:pt>
                <c:pt idx="4">
                  <c:v>5-Feb</c:v>
                </c:pt>
                <c:pt idx="5">
                  <c:v>6-Feb</c:v>
                </c:pt>
                <c:pt idx="6">
                  <c:v>7-Feb</c:v>
                </c:pt>
                <c:pt idx="7">
                  <c:v>8-Feb</c:v>
                </c:pt>
                <c:pt idx="8">
                  <c:v>9-Feb</c:v>
                </c:pt>
                <c:pt idx="9">
                  <c:v>10-Feb</c:v>
                </c:pt>
                <c:pt idx="10">
                  <c:v>11-Feb</c:v>
                </c:pt>
                <c:pt idx="11">
                  <c:v>12-Feb</c:v>
                </c:pt>
                <c:pt idx="12">
                  <c:v>13-Feb</c:v>
                </c:pt>
                <c:pt idx="13">
                  <c:v>14-Feb</c:v>
                </c:pt>
                <c:pt idx="14">
                  <c:v>15-Feb</c:v>
                </c:pt>
                <c:pt idx="15">
                  <c:v>16-Feb</c:v>
                </c:pt>
                <c:pt idx="16">
                  <c:v>17-Feb</c:v>
                </c:pt>
                <c:pt idx="17">
                  <c:v>18-Feb</c:v>
                </c:pt>
                <c:pt idx="18">
                  <c:v>19-Feb</c:v>
                </c:pt>
                <c:pt idx="19">
                  <c:v>20-Feb</c:v>
                </c:pt>
                <c:pt idx="20">
                  <c:v>21-Feb</c:v>
                </c:pt>
                <c:pt idx="21">
                  <c:v>22-Feb</c:v>
                </c:pt>
                <c:pt idx="22">
                  <c:v>23-Feb</c:v>
                </c:pt>
                <c:pt idx="23">
                  <c:v>24-Feb</c:v>
                </c:pt>
                <c:pt idx="24">
                  <c:v>25-Feb</c:v>
                </c:pt>
                <c:pt idx="25">
                  <c:v>27-Feb</c:v>
                </c:pt>
                <c:pt idx="26">
                  <c:v>28-Feb</c:v>
                </c:pt>
                <c:pt idx="27">
                  <c:v>29-Feb</c:v>
                </c:pt>
              </c:strCache>
            </c:strRef>
          </c:cat>
          <c:val>
            <c:numRef>
              <c:f>'Pivot Report'!$L$4:$L$32</c:f>
              <c:numCache>
                <c:formatCode>0.00</c:formatCode>
                <c:ptCount val="28"/>
                <c:pt idx="0">
                  <c:v>4.166666666666667</c:v>
                </c:pt>
                <c:pt idx="1">
                  <c:v>5.75</c:v>
                </c:pt>
                <c:pt idx="2">
                  <c:v>4.75</c:v>
                </c:pt>
                <c:pt idx="3">
                  <c:v>7</c:v>
                </c:pt>
                <c:pt idx="4">
                  <c:v>3.1428571428571428</c:v>
                </c:pt>
                <c:pt idx="5">
                  <c:v>8</c:v>
                </c:pt>
                <c:pt idx="6">
                  <c:v>5.25</c:v>
                </c:pt>
                <c:pt idx="7">
                  <c:v>4.5714285714285712</c:v>
                </c:pt>
                <c:pt idx="8">
                  <c:v>2.75</c:v>
                </c:pt>
                <c:pt idx="9">
                  <c:v>4.5</c:v>
                </c:pt>
                <c:pt idx="10">
                  <c:v>5.5</c:v>
                </c:pt>
                <c:pt idx="11">
                  <c:v>5.6</c:v>
                </c:pt>
                <c:pt idx="12">
                  <c:v>5.75</c:v>
                </c:pt>
                <c:pt idx="13">
                  <c:v>3.4444444444444446</c:v>
                </c:pt>
                <c:pt idx="14">
                  <c:v>1.5</c:v>
                </c:pt>
                <c:pt idx="15">
                  <c:v>3.6666666666666665</c:v>
                </c:pt>
                <c:pt idx="16">
                  <c:v>4.4285714285714288</c:v>
                </c:pt>
                <c:pt idx="17">
                  <c:v>6</c:v>
                </c:pt>
                <c:pt idx="18">
                  <c:v>2.6666666666666665</c:v>
                </c:pt>
                <c:pt idx="19">
                  <c:v>7.5</c:v>
                </c:pt>
                <c:pt idx="20">
                  <c:v>4.5</c:v>
                </c:pt>
                <c:pt idx="21">
                  <c:v>8</c:v>
                </c:pt>
                <c:pt idx="22">
                  <c:v>4.3636363636363633</c:v>
                </c:pt>
                <c:pt idx="23">
                  <c:v>0</c:v>
                </c:pt>
                <c:pt idx="24">
                  <c:v>10</c:v>
                </c:pt>
                <c:pt idx="25">
                  <c:v>6.75</c:v>
                </c:pt>
                <c:pt idx="26">
                  <c:v>7</c:v>
                </c:pt>
                <c:pt idx="27">
                  <c:v>3.3333333333333335</c:v>
                </c:pt>
              </c:numCache>
            </c:numRef>
          </c:val>
          <c:extLst>
            <c:ext xmlns:c16="http://schemas.microsoft.com/office/drawing/2014/chart" uri="{C3380CC4-5D6E-409C-BE32-E72D297353CC}">
              <c16:uniqueId val="{00000000-4A5C-401F-9E86-943B2566C7C7}"/>
            </c:ext>
          </c:extLst>
        </c:ser>
        <c:dLbls>
          <c:showLegendKey val="0"/>
          <c:showVal val="1"/>
          <c:showCatName val="0"/>
          <c:showSerName val="0"/>
          <c:showPercent val="0"/>
          <c:showBubbleSize val="0"/>
        </c:dLbls>
        <c:dropLines>
          <c:spPr>
            <a:ln w="9525" cap="flat" cmpd="sng" algn="ctr">
              <a:gradFill>
                <a:gsLst>
                  <a:gs pos="0">
                    <a:schemeClr val="lt1"/>
                  </a:gs>
                  <a:gs pos="50000">
                    <a:schemeClr val="lt1">
                      <a:alpha val="0"/>
                    </a:schemeClr>
                  </a:gs>
                </a:gsLst>
                <a:lin ang="5400000" scaled="0"/>
              </a:gradFill>
              <a:round/>
            </a:ln>
            <a:effectLst/>
          </c:spPr>
        </c:dropLines>
        <c:axId val="745186879"/>
        <c:axId val="745187839"/>
      </c:areaChart>
      <c:catAx>
        <c:axId val="745186879"/>
        <c:scaling>
          <c:orientation val="minMax"/>
        </c:scaling>
        <c:delete val="0"/>
        <c:axPos val="b"/>
        <c:numFmt formatCode="General" sourceLinked="1"/>
        <c:majorTickMark val="none"/>
        <c:minorTickMark val="none"/>
        <c:tickLblPos val="nextTo"/>
        <c:spPr>
          <a:noFill/>
          <a:ln w="9525" cap="flat" cmpd="sng" algn="ctr">
            <a:solidFill>
              <a:schemeClr val="accent2">
                <a:lumMod val="40000"/>
                <a:lumOff val="60000"/>
                <a:alpha val="25000"/>
              </a:schemeClr>
            </a:solidFill>
            <a:round/>
          </a:ln>
          <a:effectLst/>
        </c:spPr>
        <c:txPr>
          <a:bodyPr rot="-5400000" spcFirstLastPara="1" vertOverflow="ellipsis" wrap="square" anchor="ctr" anchorCtr="1"/>
          <a:lstStyle/>
          <a:p>
            <a:pPr>
              <a:defRPr sz="900" b="0" i="0" u="none" strike="noStrike" kern="1200" baseline="0">
                <a:solidFill>
                  <a:schemeClr val="lt1"/>
                </a:solidFill>
                <a:latin typeface="+mn-lt"/>
                <a:ea typeface="+mn-ea"/>
                <a:cs typeface="+mn-cs"/>
              </a:defRPr>
            </a:pPr>
            <a:endParaRPr lang="en-US"/>
          </a:p>
        </c:txPr>
        <c:crossAx val="745187839"/>
        <c:crosses val="autoZero"/>
        <c:auto val="1"/>
        <c:lblAlgn val="ctr"/>
        <c:lblOffset val="100"/>
        <c:noMultiLvlLbl val="0"/>
      </c:catAx>
      <c:valAx>
        <c:axId val="745187839"/>
        <c:scaling>
          <c:orientation val="minMax"/>
        </c:scaling>
        <c:delete val="1"/>
        <c:axPos val="l"/>
        <c:numFmt formatCode="0.00" sourceLinked="1"/>
        <c:majorTickMark val="out"/>
        <c:minorTickMark val="none"/>
        <c:tickLblPos val="nextTo"/>
        <c:crossAx val="745186879"/>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accent2"/>
    </a:solidFill>
    <a:ln w="9525" cap="flat" cmpd="sng" algn="ctr">
      <a:solidFill>
        <a:schemeClr val="accent2"/>
      </a:solidFill>
      <a:round/>
    </a:ln>
    <a:effectLst/>
  </c:spPr>
  <c:txPr>
    <a:bodyPr rot="-5400000" vert="horz"/>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charts/style8.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charts/style9.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8" Type="http://schemas.openxmlformats.org/officeDocument/2006/relationships/chart" Target="../charts/chart2.xml"/><Relationship Id="rId13" Type="http://schemas.openxmlformats.org/officeDocument/2006/relationships/hyperlink" Target="#'Satisfaction Score'!A1"/><Relationship Id="rId18" Type="http://schemas.openxmlformats.org/officeDocument/2006/relationships/chart" Target="../charts/chart8.xml"/><Relationship Id="rId3" Type="http://schemas.openxmlformats.org/officeDocument/2006/relationships/image" Target="../media/image3.png"/><Relationship Id="rId7" Type="http://schemas.openxmlformats.org/officeDocument/2006/relationships/hyperlink" Target="#'Day ER No. of Patient'!A1"/><Relationship Id="rId12" Type="http://schemas.openxmlformats.org/officeDocument/2006/relationships/image" Target="../media/image8.svg"/><Relationship Id="rId17" Type="http://schemas.openxmlformats.org/officeDocument/2006/relationships/chart" Target="../charts/chart7.xml"/><Relationship Id="rId2" Type="http://schemas.openxmlformats.org/officeDocument/2006/relationships/image" Target="../media/image2.png"/><Relationship Id="rId16" Type="http://schemas.openxmlformats.org/officeDocument/2006/relationships/chart" Target="../charts/chart6.xml"/><Relationship Id="rId1" Type="http://schemas.openxmlformats.org/officeDocument/2006/relationships/image" Target="../media/image1.jpeg"/><Relationship Id="rId6" Type="http://schemas.openxmlformats.org/officeDocument/2006/relationships/image" Target="../media/image6.svg"/><Relationship Id="rId11" Type="http://schemas.openxmlformats.org/officeDocument/2006/relationships/image" Target="../media/image7.png"/><Relationship Id="rId5" Type="http://schemas.openxmlformats.org/officeDocument/2006/relationships/image" Target="../media/image5.png"/><Relationship Id="rId15" Type="http://schemas.openxmlformats.org/officeDocument/2006/relationships/chart" Target="../charts/chart5.xml"/><Relationship Id="rId10" Type="http://schemas.openxmlformats.org/officeDocument/2006/relationships/chart" Target="../charts/chart3.xml"/><Relationship Id="rId19" Type="http://schemas.openxmlformats.org/officeDocument/2006/relationships/image" Target="../media/image9.emf"/><Relationship Id="rId4" Type="http://schemas.openxmlformats.org/officeDocument/2006/relationships/image" Target="../media/image4.svg"/><Relationship Id="rId9" Type="http://schemas.openxmlformats.org/officeDocument/2006/relationships/hyperlink" Target="#'Avg Wait Time'!A1"/><Relationship Id="rId14" Type="http://schemas.openxmlformats.org/officeDocument/2006/relationships/chart" Target="../charts/chart4.xml"/></Relationships>
</file>

<file path=xl/drawings/_rels/drawing3.xml.rels><?xml version="1.0" encoding="UTF-8" standalone="yes"?>
<Relationships xmlns="http://schemas.openxmlformats.org/package/2006/relationships"><Relationship Id="rId3" Type="http://schemas.openxmlformats.org/officeDocument/2006/relationships/image" Target="../media/image11.png"/><Relationship Id="rId2" Type="http://schemas.openxmlformats.org/officeDocument/2006/relationships/hyperlink" Target="#Dashboard!A1"/><Relationship Id="rId1" Type="http://schemas.openxmlformats.org/officeDocument/2006/relationships/chart" Target="../charts/chart9.xml"/><Relationship Id="rId4" Type="http://schemas.openxmlformats.org/officeDocument/2006/relationships/image" Target="../media/image12.svg"/></Relationships>
</file>

<file path=xl/drawings/_rels/drawing4.xml.rels><?xml version="1.0" encoding="UTF-8" standalone="yes"?>
<Relationships xmlns="http://schemas.openxmlformats.org/package/2006/relationships"><Relationship Id="rId3" Type="http://schemas.openxmlformats.org/officeDocument/2006/relationships/image" Target="../media/image11.png"/><Relationship Id="rId2" Type="http://schemas.openxmlformats.org/officeDocument/2006/relationships/hyperlink" Target="#Dashboard!A1"/><Relationship Id="rId1" Type="http://schemas.openxmlformats.org/officeDocument/2006/relationships/chart" Target="../charts/chart10.xml"/><Relationship Id="rId4" Type="http://schemas.openxmlformats.org/officeDocument/2006/relationships/image" Target="../media/image12.svg"/></Relationships>
</file>

<file path=xl/drawings/_rels/drawing5.xml.rels><?xml version="1.0" encoding="UTF-8" standalone="yes"?>
<Relationships xmlns="http://schemas.openxmlformats.org/package/2006/relationships"><Relationship Id="rId3" Type="http://schemas.openxmlformats.org/officeDocument/2006/relationships/image" Target="../media/image11.png"/><Relationship Id="rId2" Type="http://schemas.openxmlformats.org/officeDocument/2006/relationships/hyperlink" Target="#Dashboard!A1"/><Relationship Id="rId1" Type="http://schemas.openxmlformats.org/officeDocument/2006/relationships/chart" Target="../charts/chart11.xml"/><Relationship Id="rId4" Type="http://schemas.openxmlformats.org/officeDocument/2006/relationships/image" Target="../media/image12.svg"/></Relationships>
</file>

<file path=xl/drawings/_rels/vmlDrawing1.vml.rels><?xml version="1.0" encoding="UTF-8" standalone="yes"?>
<Relationships xmlns="http://schemas.openxmlformats.org/package/2006/relationships"><Relationship Id="rId1" Type="http://schemas.openxmlformats.org/officeDocument/2006/relationships/image" Target="../media/image10.emf"/></Relationships>
</file>

<file path=xl/drawings/drawing1.xml><?xml version="1.0" encoding="utf-8"?>
<xdr:wsDr xmlns:xdr="http://schemas.openxmlformats.org/drawingml/2006/spreadsheetDrawing" xmlns:a="http://schemas.openxmlformats.org/drawingml/2006/main">
  <xdr:twoCellAnchor>
    <xdr:from>
      <xdr:col>3</xdr:col>
      <xdr:colOff>129540</xdr:colOff>
      <xdr:row>46</xdr:row>
      <xdr:rowOff>60960</xdr:rowOff>
    </xdr:from>
    <xdr:to>
      <xdr:col>3</xdr:col>
      <xdr:colOff>2194560</xdr:colOff>
      <xdr:row>49</xdr:row>
      <xdr:rowOff>76200</xdr:rowOff>
    </xdr:to>
    <xdr:graphicFrame macro="">
      <xdr:nvGraphicFramePr>
        <xdr:cNvPr id="2" name="Chart 1">
          <a:extLst>
            <a:ext uri="{FF2B5EF4-FFF2-40B4-BE49-F238E27FC236}">
              <a16:creationId xmlns:a16="http://schemas.microsoft.com/office/drawing/2014/main" id="{E7430DBF-AD68-02F9-C2CF-1E9D267FF8D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25</xdr:col>
      <xdr:colOff>17930</xdr:colOff>
      <xdr:row>39</xdr:row>
      <xdr:rowOff>179293</xdr:rowOff>
    </xdr:to>
    <xdr:pic>
      <xdr:nvPicPr>
        <xdr:cNvPr id="3" name="Picture 2">
          <a:extLst>
            <a:ext uri="{FF2B5EF4-FFF2-40B4-BE49-F238E27FC236}">
              <a16:creationId xmlns:a16="http://schemas.microsoft.com/office/drawing/2014/main" id="{9FD623E6-07DE-0579-5E9D-046467FAF7AE}"/>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0"/>
          <a:ext cx="14818659" cy="7171764"/>
        </a:xfrm>
        <a:prstGeom prst="rect">
          <a:avLst/>
        </a:prstGeom>
        <a:solidFill>
          <a:schemeClr val="bg1">
            <a:lumMod val="95000"/>
          </a:schemeClr>
        </a:solidFill>
        <a:ln>
          <a:noFill/>
        </a:ln>
      </xdr:spPr>
    </xdr:pic>
    <xdr:clientData/>
  </xdr:twoCellAnchor>
  <xdr:twoCellAnchor editAs="absolute">
    <xdr:from>
      <xdr:col>6</xdr:col>
      <xdr:colOff>152400</xdr:colOff>
      <xdr:row>0</xdr:row>
      <xdr:rowOff>53340</xdr:rowOff>
    </xdr:from>
    <xdr:to>
      <xdr:col>17</xdr:col>
      <xdr:colOff>441960</xdr:colOff>
      <xdr:row>4</xdr:row>
      <xdr:rowOff>45720</xdr:rowOff>
    </xdr:to>
    <xdr:sp macro="" textlink="">
      <xdr:nvSpPr>
        <xdr:cNvPr id="4" name="Rectangle: Rounded Corners 3">
          <a:extLst>
            <a:ext uri="{FF2B5EF4-FFF2-40B4-BE49-F238E27FC236}">
              <a16:creationId xmlns:a16="http://schemas.microsoft.com/office/drawing/2014/main" id="{FDC4C1D9-24CD-0FCD-54C5-11E373E612CF}"/>
            </a:ext>
          </a:extLst>
        </xdr:cNvPr>
        <xdr:cNvSpPr/>
      </xdr:nvSpPr>
      <xdr:spPr>
        <a:xfrm>
          <a:off x="3810000" y="53340"/>
          <a:ext cx="6553200" cy="723900"/>
        </a:xfrm>
        <a:prstGeom prst="roundRect">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editAs="absolute">
    <xdr:from>
      <xdr:col>9</xdr:col>
      <xdr:colOff>518160</xdr:colOff>
      <xdr:row>4</xdr:row>
      <xdr:rowOff>121920</xdr:rowOff>
    </xdr:from>
    <xdr:to>
      <xdr:col>13</xdr:col>
      <xdr:colOff>373380</xdr:colOff>
      <xdr:row>8</xdr:row>
      <xdr:rowOff>114300</xdr:rowOff>
    </xdr:to>
    <xdr:sp macro="" textlink="">
      <xdr:nvSpPr>
        <xdr:cNvPr id="15" name="Rectangle: Rounded Corners 14">
          <a:extLst>
            <a:ext uri="{FF2B5EF4-FFF2-40B4-BE49-F238E27FC236}">
              <a16:creationId xmlns:a16="http://schemas.microsoft.com/office/drawing/2014/main" id="{AFB83F2B-00E4-C405-0CFB-E5A853E4ADBA}"/>
            </a:ext>
          </a:extLst>
        </xdr:cNvPr>
        <xdr:cNvSpPr/>
      </xdr:nvSpPr>
      <xdr:spPr>
        <a:xfrm>
          <a:off x="6004560" y="853440"/>
          <a:ext cx="1851660" cy="723900"/>
        </a:xfrm>
        <a:prstGeom prst="roundRect">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editAs="absolute">
    <xdr:from>
      <xdr:col>0</xdr:col>
      <xdr:colOff>45720</xdr:colOff>
      <xdr:row>8</xdr:row>
      <xdr:rowOff>167640</xdr:rowOff>
    </xdr:from>
    <xdr:to>
      <xdr:col>24</xdr:col>
      <xdr:colOff>441960</xdr:colOff>
      <xdr:row>12</xdr:row>
      <xdr:rowOff>53340</xdr:rowOff>
    </xdr:to>
    <xdr:sp macro="" textlink="">
      <xdr:nvSpPr>
        <xdr:cNvPr id="27" name="Rectangle: Rounded Corners 26">
          <a:extLst>
            <a:ext uri="{FF2B5EF4-FFF2-40B4-BE49-F238E27FC236}">
              <a16:creationId xmlns:a16="http://schemas.microsoft.com/office/drawing/2014/main" id="{12517399-2410-B810-CDF5-F31E2F54AE15}"/>
            </a:ext>
          </a:extLst>
        </xdr:cNvPr>
        <xdr:cNvSpPr/>
      </xdr:nvSpPr>
      <xdr:spPr>
        <a:xfrm>
          <a:off x="45720" y="1630680"/>
          <a:ext cx="14584680" cy="617220"/>
        </a:xfrm>
        <a:prstGeom prst="roundRect">
          <a:avLst>
            <a:gd name="adj" fmla="val 8025"/>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editAs="absolute">
    <xdr:from>
      <xdr:col>13</xdr:col>
      <xdr:colOff>0</xdr:colOff>
      <xdr:row>12</xdr:row>
      <xdr:rowOff>175260</xdr:rowOff>
    </xdr:from>
    <xdr:to>
      <xdr:col>17</xdr:col>
      <xdr:colOff>381000</xdr:colOff>
      <xdr:row>25</xdr:row>
      <xdr:rowOff>121920</xdr:rowOff>
    </xdr:to>
    <xdr:sp macro="" textlink="">
      <xdr:nvSpPr>
        <xdr:cNvPr id="28" name="Rectangle: Rounded Corners 27">
          <a:extLst>
            <a:ext uri="{FF2B5EF4-FFF2-40B4-BE49-F238E27FC236}">
              <a16:creationId xmlns:a16="http://schemas.microsoft.com/office/drawing/2014/main" id="{3CD602B2-0D22-BEC6-0311-A89D0216BE10}"/>
            </a:ext>
          </a:extLst>
        </xdr:cNvPr>
        <xdr:cNvSpPr/>
      </xdr:nvSpPr>
      <xdr:spPr>
        <a:xfrm>
          <a:off x="7482840" y="2369820"/>
          <a:ext cx="2819400" cy="2324100"/>
        </a:xfrm>
        <a:prstGeom prst="roundRect">
          <a:avLst>
            <a:gd name="adj" fmla="val 4536"/>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editAs="absolute">
    <xdr:from>
      <xdr:col>17</xdr:col>
      <xdr:colOff>441960</xdr:colOff>
      <xdr:row>13</xdr:row>
      <xdr:rowOff>0</xdr:rowOff>
    </xdr:from>
    <xdr:to>
      <xdr:col>24</xdr:col>
      <xdr:colOff>441960</xdr:colOff>
      <xdr:row>38</xdr:row>
      <xdr:rowOff>137160</xdr:rowOff>
    </xdr:to>
    <xdr:sp macro="" textlink="">
      <xdr:nvSpPr>
        <xdr:cNvPr id="30" name="Rectangle: Rounded Corners 29">
          <a:extLst>
            <a:ext uri="{FF2B5EF4-FFF2-40B4-BE49-F238E27FC236}">
              <a16:creationId xmlns:a16="http://schemas.microsoft.com/office/drawing/2014/main" id="{556CFFE9-72C1-0887-0633-EA11C231DF46}"/>
            </a:ext>
          </a:extLst>
        </xdr:cNvPr>
        <xdr:cNvSpPr/>
      </xdr:nvSpPr>
      <xdr:spPr>
        <a:xfrm>
          <a:off x="10363200" y="2377440"/>
          <a:ext cx="4267200" cy="4709160"/>
        </a:xfrm>
        <a:prstGeom prst="roundRect">
          <a:avLst>
            <a:gd name="adj" fmla="val 2142"/>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editAs="absolute">
    <xdr:from>
      <xdr:col>0</xdr:col>
      <xdr:colOff>83820</xdr:colOff>
      <xdr:row>13</xdr:row>
      <xdr:rowOff>7620</xdr:rowOff>
    </xdr:from>
    <xdr:to>
      <xdr:col>3</xdr:col>
      <xdr:colOff>563880</xdr:colOff>
      <xdr:row>23</xdr:row>
      <xdr:rowOff>121920</xdr:rowOff>
    </xdr:to>
    <xdr:sp macro="" textlink="">
      <xdr:nvSpPr>
        <xdr:cNvPr id="31" name="Rectangle: Rounded Corners 30">
          <a:extLst>
            <a:ext uri="{FF2B5EF4-FFF2-40B4-BE49-F238E27FC236}">
              <a16:creationId xmlns:a16="http://schemas.microsoft.com/office/drawing/2014/main" id="{06A1C7C7-E565-9E7E-7DC5-F58D22573DA2}"/>
            </a:ext>
          </a:extLst>
        </xdr:cNvPr>
        <xdr:cNvSpPr/>
      </xdr:nvSpPr>
      <xdr:spPr>
        <a:xfrm>
          <a:off x="83820" y="2385060"/>
          <a:ext cx="2308860" cy="1943100"/>
        </a:xfrm>
        <a:prstGeom prst="roundRect">
          <a:avLst>
            <a:gd name="adj" fmla="val 3333"/>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editAs="absolute">
    <xdr:from>
      <xdr:col>4</xdr:col>
      <xdr:colOff>0</xdr:colOff>
      <xdr:row>13</xdr:row>
      <xdr:rowOff>0</xdr:rowOff>
    </xdr:from>
    <xdr:to>
      <xdr:col>8</xdr:col>
      <xdr:colOff>0</xdr:colOff>
      <xdr:row>23</xdr:row>
      <xdr:rowOff>121920</xdr:rowOff>
    </xdr:to>
    <xdr:sp macro="" textlink="">
      <xdr:nvSpPr>
        <xdr:cNvPr id="34" name="Rectangle: Rounded Corners 33">
          <a:extLst>
            <a:ext uri="{FF2B5EF4-FFF2-40B4-BE49-F238E27FC236}">
              <a16:creationId xmlns:a16="http://schemas.microsoft.com/office/drawing/2014/main" id="{B1911E06-6823-C263-BB19-85284D802727}"/>
            </a:ext>
          </a:extLst>
        </xdr:cNvPr>
        <xdr:cNvSpPr/>
      </xdr:nvSpPr>
      <xdr:spPr>
        <a:xfrm>
          <a:off x="2438400" y="2377440"/>
          <a:ext cx="2438400" cy="1950720"/>
        </a:xfrm>
        <a:prstGeom prst="roundRect">
          <a:avLst>
            <a:gd name="adj" fmla="val 3334"/>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editAs="absolute">
    <xdr:from>
      <xdr:col>0</xdr:col>
      <xdr:colOff>99060</xdr:colOff>
      <xdr:row>29</xdr:row>
      <xdr:rowOff>0</xdr:rowOff>
    </xdr:from>
    <xdr:to>
      <xdr:col>12</xdr:col>
      <xdr:colOff>0</xdr:colOff>
      <xdr:row>38</xdr:row>
      <xdr:rowOff>129540</xdr:rowOff>
    </xdr:to>
    <xdr:sp macro="" textlink="">
      <xdr:nvSpPr>
        <xdr:cNvPr id="36" name="Rectangle: Rounded Corners 35">
          <a:extLst>
            <a:ext uri="{FF2B5EF4-FFF2-40B4-BE49-F238E27FC236}">
              <a16:creationId xmlns:a16="http://schemas.microsoft.com/office/drawing/2014/main" id="{33DB4675-4BE8-EF3E-5577-E5A31C3B0659}"/>
            </a:ext>
          </a:extLst>
        </xdr:cNvPr>
        <xdr:cNvSpPr/>
      </xdr:nvSpPr>
      <xdr:spPr>
        <a:xfrm>
          <a:off x="99060" y="5303520"/>
          <a:ext cx="7315200" cy="1775460"/>
        </a:xfrm>
        <a:prstGeom prst="roundRect">
          <a:avLst>
            <a:gd name="adj" fmla="val 5079"/>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editAs="absolute">
    <xdr:from>
      <xdr:col>0</xdr:col>
      <xdr:colOff>83820</xdr:colOff>
      <xdr:row>23</xdr:row>
      <xdr:rowOff>160020</xdr:rowOff>
    </xdr:from>
    <xdr:to>
      <xdr:col>12</xdr:col>
      <xdr:colOff>0</xdr:colOff>
      <xdr:row>28</xdr:row>
      <xdr:rowOff>129540</xdr:rowOff>
    </xdr:to>
    <xdr:sp macro="" textlink="">
      <xdr:nvSpPr>
        <xdr:cNvPr id="37" name="Rectangle: Rounded Corners 36">
          <a:extLst>
            <a:ext uri="{FF2B5EF4-FFF2-40B4-BE49-F238E27FC236}">
              <a16:creationId xmlns:a16="http://schemas.microsoft.com/office/drawing/2014/main" id="{DC682C62-02F3-15E7-FF32-52D84518C25B}"/>
            </a:ext>
          </a:extLst>
        </xdr:cNvPr>
        <xdr:cNvSpPr/>
      </xdr:nvSpPr>
      <xdr:spPr>
        <a:xfrm>
          <a:off x="83820" y="4366260"/>
          <a:ext cx="7330440" cy="883920"/>
        </a:xfrm>
        <a:prstGeom prst="roundRect">
          <a:avLst>
            <a:gd name="adj" fmla="val 8046"/>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7</xdr:col>
      <xdr:colOff>548639</xdr:colOff>
      <xdr:row>0</xdr:row>
      <xdr:rowOff>114300</xdr:rowOff>
    </xdr:from>
    <xdr:to>
      <xdr:col>17</xdr:col>
      <xdr:colOff>403411</xdr:colOff>
      <xdr:row>2</xdr:row>
      <xdr:rowOff>91440</xdr:rowOff>
    </xdr:to>
    <xdr:sp macro="" textlink="">
      <xdr:nvSpPr>
        <xdr:cNvPr id="38" name="TextBox 37">
          <a:extLst>
            <a:ext uri="{FF2B5EF4-FFF2-40B4-BE49-F238E27FC236}">
              <a16:creationId xmlns:a16="http://schemas.microsoft.com/office/drawing/2014/main" id="{19DB1E36-59CC-ECE3-7A6A-37E60077ED85}"/>
            </a:ext>
          </a:extLst>
        </xdr:cNvPr>
        <xdr:cNvSpPr txBox="1"/>
      </xdr:nvSpPr>
      <xdr:spPr>
        <a:xfrm>
          <a:off x="4815839" y="114300"/>
          <a:ext cx="5511501" cy="335728"/>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400" b="1"/>
            <a:t>Hospital Emergency Room</a:t>
          </a:r>
          <a:r>
            <a:rPr lang="en-IN" sz="2400" b="1" baseline="0"/>
            <a:t> Dashboard</a:t>
          </a:r>
          <a:endParaRPr lang="en-IN" sz="2400" b="1"/>
        </a:p>
      </xdr:txBody>
    </xdr:sp>
    <xdr:clientData/>
  </xdr:twoCellAnchor>
  <xdr:twoCellAnchor editAs="oneCell">
    <xdr:from>
      <xdr:col>6</xdr:col>
      <xdr:colOff>228601</xdr:colOff>
      <xdr:row>0</xdr:row>
      <xdr:rowOff>106443</xdr:rowOff>
    </xdr:from>
    <xdr:to>
      <xdr:col>7</xdr:col>
      <xdr:colOff>502920</xdr:colOff>
      <xdr:row>3</xdr:row>
      <xdr:rowOff>144780</xdr:rowOff>
    </xdr:to>
    <xdr:pic>
      <xdr:nvPicPr>
        <xdr:cNvPr id="40" name="Picture 39">
          <a:extLst>
            <a:ext uri="{FF2B5EF4-FFF2-40B4-BE49-F238E27FC236}">
              <a16:creationId xmlns:a16="http://schemas.microsoft.com/office/drawing/2014/main" id="{B73CE907-8347-BBD5-0F63-B183C2F9809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3886201" y="106443"/>
          <a:ext cx="883919" cy="586977"/>
        </a:xfrm>
        <a:prstGeom prst="rect">
          <a:avLst/>
        </a:prstGeom>
      </xdr:spPr>
    </xdr:pic>
    <xdr:clientData/>
  </xdr:twoCellAnchor>
  <xdr:twoCellAnchor>
    <xdr:from>
      <xdr:col>11</xdr:col>
      <xdr:colOff>163606</xdr:colOff>
      <xdr:row>2</xdr:row>
      <xdr:rowOff>106680</xdr:rowOff>
    </xdr:from>
    <xdr:to>
      <xdr:col>14</xdr:col>
      <xdr:colOff>367553</xdr:colOff>
      <xdr:row>3</xdr:row>
      <xdr:rowOff>107577</xdr:rowOff>
    </xdr:to>
    <xdr:sp macro="" textlink="">
      <xdr:nvSpPr>
        <xdr:cNvPr id="41" name="TextBox 40">
          <a:extLst>
            <a:ext uri="{FF2B5EF4-FFF2-40B4-BE49-F238E27FC236}">
              <a16:creationId xmlns:a16="http://schemas.microsoft.com/office/drawing/2014/main" id="{BAA37BF9-5F7F-B365-A0CC-19781BE1AA95}"/>
            </a:ext>
          </a:extLst>
        </xdr:cNvPr>
        <xdr:cNvSpPr txBox="1"/>
      </xdr:nvSpPr>
      <xdr:spPr>
        <a:xfrm>
          <a:off x="6869206" y="465268"/>
          <a:ext cx="1593476" cy="180191"/>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b="1"/>
            <a:t>Monthly</a:t>
          </a:r>
          <a:r>
            <a:rPr lang="en-IN" sz="1400" b="1" baseline="0"/>
            <a:t> Report</a:t>
          </a:r>
          <a:endParaRPr lang="en-IN" sz="1400" b="1"/>
        </a:p>
      </xdr:txBody>
    </xdr:sp>
    <xdr:clientData/>
  </xdr:twoCellAnchor>
  <xdr:twoCellAnchor>
    <xdr:from>
      <xdr:col>0</xdr:col>
      <xdr:colOff>99060</xdr:colOff>
      <xdr:row>16</xdr:row>
      <xdr:rowOff>83820</xdr:rowOff>
    </xdr:from>
    <xdr:to>
      <xdr:col>3</xdr:col>
      <xdr:colOff>556260</xdr:colOff>
      <xdr:row>17</xdr:row>
      <xdr:rowOff>137160</xdr:rowOff>
    </xdr:to>
    <xdr:sp macro="" textlink="">
      <xdr:nvSpPr>
        <xdr:cNvPr id="42" name="TextBox 41">
          <a:extLst>
            <a:ext uri="{FF2B5EF4-FFF2-40B4-BE49-F238E27FC236}">
              <a16:creationId xmlns:a16="http://schemas.microsoft.com/office/drawing/2014/main" id="{7EB65D2A-2198-B56F-168D-55516F809F0B}"/>
            </a:ext>
          </a:extLst>
        </xdr:cNvPr>
        <xdr:cNvSpPr txBox="1"/>
      </xdr:nvSpPr>
      <xdr:spPr>
        <a:xfrm>
          <a:off x="99060" y="3009900"/>
          <a:ext cx="2286000" cy="236220"/>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b="1"/>
            <a:t>No.</a:t>
          </a:r>
          <a:r>
            <a:rPr lang="en-IN" sz="1200" b="1" baseline="0"/>
            <a:t> of Patient</a:t>
          </a:r>
          <a:endParaRPr lang="en-IN" sz="1200" b="1"/>
        </a:p>
      </xdr:txBody>
    </xdr:sp>
    <xdr:clientData/>
  </xdr:twoCellAnchor>
  <xdr:twoCellAnchor>
    <xdr:from>
      <xdr:col>0</xdr:col>
      <xdr:colOff>99060</xdr:colOff>
      <xdr:row>14</xdr:row>
      <xdr:rowOff>60960</xdr:rowOff>
    </xdr:from>
    <xdr:to>
      <xdr:col>3</xdr:col>
      <xdr:colOff>556260</xdr:colOff>
      <xdr:row>16</xdr:row>
      <xdr:rowOff>30480</xdr:rowOff>
    </xdr:to>
    <xdr:sp macro="" textlink="'Pivot Report'!A4">
      <xdr:nvSpPr>
        <xdr:cNvPr id="43" name="TextBox 42">
          <a:extLst>
            <a:ext uri="{FF2B5EF4-FFF2-40B4-BE49-F238E27FC236}">
              <a16:creationId xmlns:a16="http://schemas.microsoft.com/office/drawing/2014/main" id="{E826C3A6-AA9D-35ED-7D41-0472ED082E7E}"/>
            </a:ext>
          </a:extLst>
        </xdr:cNvPr>
        <xdr:cNvSpPr txBox="1"/>
      </xdr:nvSpPr>
      <xdr:spPr>
        <a:xfrm>
          <a:off x="99060" y="2621280"/>
          <a:ext cx="2286000" cy="335280"/>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9F143AAB-31F9-4E25-A0BB-1B81C9DC38B6}" type="TxLink">
            <a:rPr lang="en-US" sz="2800" b="0" i="0" u="none" strike="noStrike">
              <a:solidFill>
                <a:srgbClr val="000000"/>
              </a:solidFill>
              <a:latin typeface="Britannic Bold" panose="020B0903060703020204" pitchFamily="34" charset="0"/>
              <a:ea typeface="Calibri"/>
              <a:cs typeface="Calibri"/>
            </a:rPr>
            <a:pPr algn="ctr"/>
            <a:t>431</a:t>
          </a:fld>
          <a:endParaRPr lang="en-IN" sz="4000" b="0">
            <a:latin typeface="Britannic Bold" panose="020B0903060703020204" pitchFamily="34" charset="0"/>
          </a:endParaRPr>
        </a:p>
      </xdr:txBody>
    </xdr:sp>
    <xdr:clientData/>
  </xdr:twoCellAnchor>
  <xdr:twoCellAnchor>
    <xdr:from>
      <xdr:col>4</xdr:col>
      <xdr:colOff>0</xdr:colOff>
      <xdr:row>16</xdr:row>
      <xdr:rowOff>83820</xdr:rowOff>
    </xdr:from>
    <xdr:to>
      <xdr:col>8</xdr:col>
      <xdr:colOff>0</xdr:colOff>
      <xdr:row>18</xdr:row>
      <xdr:rowOff>0</xdr:rowOff>
    </xdr:to>
    <xdr:sp macro="" textlink="">
      <xdr:nvSpPr>
        <xdr:cNvPr id="44" name="TextBox 43">
          <a:extLst>
            <a:ext uri="{FF2B5EF4-FFF2-40B4-BE49-F238E27FC236}">
              <a16:creationId xmlns:a16="http://schemas.microsoft.com/office/drawing/2014/main" id="{3E1673C1-AD22-4493-B8F3-27362E1B3644}"/>
            </a:ext>
          </a:extLst>
        </xdr:cNvPr>
        <xdr:cNvSpPr txBox="1"/>
      </xdr:nvSpPr>
      <xdr:spPr>
        <a:xfrm>
          <a:off x="2438400" y="3009900"/>
          <a:ext cx="2438400" cy="281940"/>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b="1"/>
            <a:t>Average</a:t>
          </a:r>
          <a:r>
            <a:rPr lang="en-IN" sz="1200" b="1" baseline="0"/>
            <a:t> Wait Time</a:t>
          </a:r>
          <a:endParaRPr lang="en-IN" sz="1200" b="1"/>
        </a:p>
      </xdr:txBody>
    </xdr:sp>
    <xdr:clientData/>
  </xdr:twoCellAnchor>
  <xdr:twoCellAnchor>
    <xdr:from>
      <xdr:col>4</xdr:col>
      <xdr:colOff>0</xdr:colOff>
      <xdr:row>14</xdr:row>
      <xdr:rowOff>60960</xdr:rowOff>
    </xdr:from>
    <xdr:to>
      <xdr:col>7</xdr:col>
      <xdr:colOff>564776</xdr:colOff>
      <xdr:row>16</xdr:row>
      <xdr:rowOff>30480</xdr:rowOff>
    </xdr:to>
    <xdr:sp macro="" textlink="'Pivot Report'!A8">
      <xdr:nvSpPr>
        <xdr:cNvPr id="45" name="TextBox 44">
          <a:extLst>
            <a:ext uri="{FF2B5EF4-FFF2-40B4-BE49-F238E27FC236}">
              <a16:creationId xmlns:a16="http://schemas.microsoft.com/office/drawing/2014/main" id="{9AF89AEA-0780-66B1-E191-579082865202}"/>
            </a:ext>
          </a:extLst>
        </xdr:cNvPr>
        <xdr:cNvSpPr txBox="1"/>
      </xdr:nvSpPr>
      <xdr:spPr>
        <a:xfrm>
          <a:off x="2438400" y="2571078"/>
          <a:ext cx="2393576" cy="328108"/>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63D6CE40-C1E1-4515-8B3E-422101A300E9}" type="TxLink">
            <a:rPr lang="en-US" sz="2800" b="0" i="0" u="none" strike="noStrike">
              <a:solidFill>
                <a:srgbClr val="000000"/>
              </a:solidFill>
              <a:latin typeface="Britannic Bold" panose="020B0903060703020204" pitchFamily="34" charset="0"/>
              <a:ea typeface="Calibri"/>
              <a:cs typeface="Calibri"/>
            </a:rPr>
            <a:pPr marL="0" indent="0" algn="ctr"/>
            <a:t>36.67</a:t>
          </a:fld>
          <a:endParaRPr lang="en-IN" sz="2800" b="0" i="0" u="none" strike="noStrike">
            <a:solidFill>
              <a:srgbClr val="000000"/>
            </a:solidFill>
            <a:latin typeface="Britannic Bold" panose="020B0903060703020204" pitchFamily="34" charset="0"/>
            <a:ea typeface="Calibri"/>
            <a:cs typeface="Calibri"/>
          </a:endParaRPr>
        </a:p>
      </xdr:txBody>
    </xdr:sp>
    <xdr:clientData/>
  </xdr:twoCellAnchor>
  <xdr:twoCellAnchor editAs="oneCell">
    <xdr:from>
      <xdr:col>0</xdr:col>
      <xdr:colOff>121920</xdr:colOff>
      <xdr:row>13</xdr:row>
      <xdr:rowOff>60960</xdr:rowOff>
    </xdr:from>
    <xdr:to>
      <xdr:col>0</xdr:col>
      <xdr:colOff>487680</xdr:colOff>
      <xdr:row>15</xdr:row>
      <xdr:rowOff>60960</xdr:rowOff>
    </xdr:to>
    <xdr:pic>
      <xdr:nvPicPr>
        <xdr:cNvPr id="49" name="Graphic 48" descr="Male profile with solid fill">
          <a:extLst>
            <a:ext uri="{FF2B5EF4-FFF2-40B4-BE49-F238E27FC236}">
              <a16:creationId xmlns:a16="http://schemas.microsoft.com/office/drawing/2014/main" id="{20608B33-2287-3B47-8264-E98DB3D9229D}"/>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121920" y="2438400"/>
          <a:ext cx="365760" cy="365760"/>
        </a:xfrm>
        <a:prstGeom prst="rect">
          <a:avLst/>
        </a:prstGeom>
      </xdr:spPr>
    </xdr:pic>
    <xdr:clientData/>
  </xdr:twoCellAnchor>
  <xdr:twoCellAnchor editAs="oneCell">
    <xdr:from>
      <xdr:col>4</xdr:col>
      <xdr:colOff>0</xdr:colOff>
      <xdr:row>13</xdr:row>
      <xdr:rowOff>15240</xdr:rowOff>
    </xdr:from>
    <xdr:to>
      <xdr:col>4</xdr:col>
      <xdr:colOff>350520</xdr:colOff>
      <xdr:row>15</xdr:row>
      <xdr:rowOff>0</xdr:rowOff>
    </xdr:to>
    <xdr:pic>
      <xdr:nvPicPr>
        <xdr:cNvPr id="51" name="Graphic 50" descr="Hourglass Finished with solid fill">
          <a:extLst>
            <a:ext uri="{FF2B5EF4-FFF2-40B4-BE49-F238E27FC236}">
              <a16:creationId xmlns:a16="http://schemas.microsoft.com/office/drawing/2014/main" id="{872AC976-095D-15BE-1631-0A87D32E9A4E}"/>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2438400" y="2392680"/>
          <a:ext cx="350520" cy="350520"/>
        </a:xfrm>
        <a:prstGeom prst="rect">
          <a:avLst/>
        </a:prstGeom>
      </xdr:spPr>
    </xdr:pic>
    <xdr:clientData/>
  </xdr:twoCellAnchor>
  <xdr:twoCellAnchor editAs="oneCell">
    <xdr:from>
      <xdr:col>0</xdr:col>
      <xdr:colOff>129540</xdr:colOff>
      <xdr:row>9</xdr:row>
      <xdr:rowOff>22860</xdr:rowOff>
    </xdr:from>
    <xdr:to>
      <xdr:col>24</xdr:col>
      <xdr:colOff>331695</xdr:colOff>
      <xdr:row>12</xdr:row>
      <xdr:rowOff>14220</xdr:rowOff>
    </xdr:to>
    <mc:AlternateContent xmlns:mc="http://schemas.openxmlformats.org/markup-compatibility/2006" xmlns:a14="http://schemas.microsoft.com/office/drawing/2010/main">
      <mc:Choice Requires="a14">
        <xdr:graphicFrame macro="">
          <xdr:nvGraphicFramePr>
            <xdr:cNvPr id="54" name="Date (Month)">
              <a:extLst>
                <a:ext uri="{FF2B5EF4-FFF2-40B4-BE49-F238E27FC236}">
                  <a16:creationId xmlns:a16="http://schemas.microsoft.com/office/drawing/2014/main" id="{6754EE12-66D4-4799-9D3B-E1DFC73C2261}"/>
                </a:ext>
              </a:extLst>
            </xdr:cNvPr>
            <xdr:cNvGraphicFramePr/>
          </xdr:nvGraphicFramePr>
          <xdr:xfrm>
            <a:off x="0" y="0"/>
            <a:ext cx="0" cy="0"/>
          </xdr:xfrm>
          <a:graphic>
            <a:graphicData uri="http://schemas.microsoft.com/office/drawing/2010/slicer">
              <sle:slicer xmlns:sle="http://schemas.microsoft.com/office/drawing/2010/slicer" name="Date (Month)"/>
            </a:graphicData>
          </a:graphic>
        </xdr:graphicFrame>
      </mc:Choice>
      <mc:Fallback xmlns="">
        <xdr:sp macro="" textlink="">
          <xdr:nvSpPr>
            <xdr:cNvPr id="0" name=""/>
            <xdr:cNvSpPr>
              <a:spLocks noTextEdit="1"/>
            </xdr:cNvSpPr>
          </xdr:nvSpPr>
          <xdr:spPr>
            <a:xfrm>
              <a:off x="129540" y="1668780"/>
              <a:ext cx="13877784" cy="540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76200</xdr:colOff>
      <xdr:row>17</xdr:row>
      <xdr:rowOff>179039</xdr:rowOff>
    </xdr:from>
    <xdr:to>
      <xdr:col>4</xdr:col>
      <xdr:colOff>0</xdr:colOff>
      <xdr:row>23</xdr:row>
      <xdr:rowOff>91440</xdr:rowOff>
    </xdr:to>
    <xdr:graphicFrame macro="">
      <xdr:nvGraphicFramePr>
        <xdr:cNvPr id="55" name="Chart 54">
          <a:hlinkClick xmlns:r="http://schemas.openxmlformats.org/officeDocument/2006/relationships" r:id="rId7"/>
          <a:extLst>
            <a:ext uri="{FF2B5EF4-FFF2-40B4-BE49-F238E27FC236}">
              <a16:creationId xmlns:a16="http://schemas.microsoft.com/office/drawing/2014/main" id="{616CAAC2-7B04-44FF-A26B-14CD3503E74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4</xdr:col>
      <xdr:colOff>0</xdr:colOff>
      <xdr:row>18</xdr:row>
      <xdr:rowOff>0</xdr:rowOff>
    </xdr:from>
    <xdr:to>
      <xdr:col>8</xdr:col>
      <xdr:colOff>0</xdr:colOff>
      <xdr:row>23</xdr:row>
      <xdr:rowOff>91440</xdr:rowOff>
    </xdr:to>
    <xdr:graphicFrame macro="">
      <xdr:nvGraphicFramePr>
        <xdr:cNvPr id="56" name="Chart 55">
          <a:hlinkClick xmlns:r="http://schemas.openxmlformats.org/officeDocument/2006/relationships" r:id="rId9"/>
          <a:extLst>
            <a:ext uri="{FF2B5EF4-FFF2-40B4-BE49-F238E27FC236}">
              <a16:creationId xmlns:a16="http://schemas.microsoft.com/office/drawing/2014/main" id="{25F2ED4C-05C7-4FD7-8A3B-CCE79D521AB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editAs="absolute">
    <xdr:from>
      <xdr:col>13</xdr:col>
      <xdr:colOff>0</xdr:colOff>
      <xdr:row>26</xdr:row>
      <xdr:rowOff>0</xdr:rowOff>
    </xdr:from>
    <xdr:to>
      <xdr:col>17</xdr:col>
      <xdr:colOff>381000</xdr:colOff>
      <xdr:row>38</xdr:row>
      <xdr:rowOff>129540</xdr:rowOff>
    </xdr:to>
    <xdr:sp macro="" textlink="">
      <xdr:nvSpPr>
        <xdr:cNvPr id="57" name="Rectangle: Rounded Corners 56">
          <a:extLst>
            <a:ext uri="{FF2B5EF4-FFF2-40B4-BE49-F238E27FC236}">
              <a16:creationId xmlns:a16="http://schemas.microsoft.com/office/drawing/2014/main" id="{183EFFEB-CEBC-F1CE-6E30-EF96776F28F5}"/>
            </a:ext>
          </a:extLst>
        </xdr:cNvPr>
        <xdr:cNvSpPr/>
      </xdr:nvSpPr>
      <xdr:spPr>
        <a:xfrm>
          <a:off x="7482840" y="4754880"/>
          <a:ext cx="2819400" cy="2324100"/>
        </a:xfrm>
        <a:prstGeom prst="roundRect">
          <a:avLst>
            <a:gd name="adj" fmla="val 4536"/>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editAs="absolute">
    <xdr:from>
      <xdr:col>8</xdr:col>
      <xdr:colOff>99060</xdr:colOff>
      <xdr:row>13</xdr:row>
      <xdr:rowOff>0</xdr:rowOff>
    </xdr:from>
    <xdr:to>
      <xdr:col>12</xdr:col>
      <xdr:colOff>0</xdr:colOff>
      <xdr:row>23</xdr:row>
      <xdr:rowOff>121920</xdr:rowOff>
    </xdr:to>
    <xdr:sp macro="" textlink="">
      <xdr:nvSpPr>
        <xdr:cNvPr id="58" name="Rectangle: Rounded Corners 57">
          <a:extLst>
            <a:ext uri="{FF2B5EF4-FFF2-40B4-BE49-F238E27FC236}">
              <a16:creationId xmlns:a16="http://schemas.microsoft.com/office/drawing/2014/main" id="{15CFE1F0-54AE-302F-EF56-DDFD95395664}"/>
            </a:ext>
          </a:extLst>
        </xdr:cNvPr>
        <xdr:cNvSpPr/>
      </xdr:nvSpPr>
      <xdr:spPr>
        <a:xfrm>
          <a:off x="4975860" y="2377440"/>
          <a:ext cx="2438400" cy="1950720"/>
        </a:xfrm>
        <a:prstGeom prst="roundRect">
          <a:avLst>
            <a:gd name="adj" fmla="val 3334"/>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8</xdr:col>
      <xdr:colOff>125506</xdr:colOff>
      <xdr:row>14</xdr:row>
      <xdr:rowOff>53788</xdr:rowOff>
    </xdr:from>
    <xdr:to>
      <xdr:col>12</xdr:col>
      <xdr:colOff>0</xdr:colOff>
      <xdr:row>16</xdr:row>
      <xdr:rowOff>26894</xdr:rowOff>
    </xdr:to>
    <xdr:sp macro="" textlink="'Pivot Report'!A12">
      <xdr:nvSpPr>
        <xdr:cNvPr id="47" name="TextBox 46">
          <a:extLst>
            <a:ext uri="{FF2B5EF4-FFF2-40B4-BE49-F238E27FC236}">
              <a16:creationId xmlns:a16="http://schemas.microsoft.com/office/drawing/2014/main" id="{95AE6DF5-6C00-9EC3-058A-65A864F63B82}"/>
            </a:ext>
          </a:extLst>
        </xdr:cNvPr>
        <xdr:cNvSpPr txBox="1"/>
      </xdr:nvSpPr>
      <xdr:spPr>
        <a:xfrm>
          <a:off x="5002306" y="2563906"/>
          <a:ext cx="2411506" cy="331694"/>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B6B1CE97-3A4C-4B15-8125-47C0EB2D0D65}" type="TxLink">
            <a:rPr lang="en-US" sz="2800" b="0" i="0" u="none" strike="noStrike">
              <a:solidFill>
                <a:srgbClr val="000000"/>
              </a:solidFill>
              <a:latin typeface="Britannic Bold" panose="020B0903060703020204" pitchFamily="34" charset="0"/>
              <a:ea typeface="Calibri"/>
              <a:cs typeface="Calibri"/>
            </a:rPr>
            <a:pPr marL="0" indent="0" algn="ctr"/>
            <a:t>4.72</a:t>
          </a:fld>
          <a:endParaRPr lang="en-IN" sz="2800" b="0" i="0" u="none" strike="noStrike">
            <a:solidFill>
              <a:srgbClr val="000000"/>
            </a:solidFill>
            <a:latin typeface="Britannic Bold" panose="020B0903060703020204" pitchFamily="34" charset="0"/>
            <a:ea typeface="Calibri"/>
            <a:cs typeface="Calibri"/>
          </a:endParaRPr>
        </a:p>
      </xdr:txBody>
    </xdr:sp>
    <xdr:clientData/>
  </xdr:twoCellAnchor>
  <xdr:twoCellAnchor>
    <xdr:from>
      <xdr:col>8</xdr:col>
      <xdr:colOff>125506</xdr:colOff>
      <xdr:row>16</xdr:row>
      <xdr:rowOff>75304</xdr:rowOff>
    </xdr:from>
    <xdr:to>
      <xdr:col>11</xdr:col>
      <xdr:colOff>654424</xdr:colOff>
      <xdr:row>17</xdr:row>
      <xdr:rowOff>161365</xdr:rowOff>
    </xdr:to>
    <xdr:sp macro="" textlink="">
      <xdr:nvSpPr>
        <xdr:cNvPr id="46" name="TextBox 45">
          <a:extLst>
            <a:ext uri="{FF2B5EF4-FFF2-40B4-BE49-F238E27FC236}">
              <a16:creationId xmlns:a16="http://schemas.microsoft.com/office/drawing/2014/main" id="{B82CF052-CC12-FAE1-F44E-D82E00FFA1BA}"/>
            </a:ext>
          </a:extLst>
        </xdr:cNvPr>
        <xdr:cNvSpPr txBox="1"/>
      </xdr:nvSpPr>
      <xdr:spPr>
        <a:xfrm>
          <a:off x="5002306" y="2944010"/>
          <a:ext cx="2357718" cy="265355"/>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200" b="1">
              <a:ln>
                <a:noFill/>
              </a:ln>
            </a:rPr>
            <a:t>Patient</a:t>
          </a:r>
          <a:r>
            <a:rPr lang="en-IN" sz="1200" b="1" baseline="0">
              <a:ln>
                <a:noFill/>
              </a:ln>
            </a:rPr>
            <a:t> Satisfaction Score</a:t>
          </a:r>
          <a:endParaRPr lang="en-IN" sz="1200" b="1">
            <a:ln>
              <a:noFill/>
            </a:ln>
          </a:endParaRPr>
        </a:p>
      </xdr:txBody>
    </xdr:sp>
    <xdr:clientData/>
  </xdr:twoCellAnchor>
  <xdr:twoCellAnchor editAs="oneCell">
    <xdr:from>
      <xdr:col>8</xdr:col>
      <xdr:colOff>160020</xdr:colOff>
      <xdr:row>13</xdr:row>
      <xdr:rowOff>15240</xdr:rowOff>
    </xdr:from>
    <xdr:to>
      <xdr:col>8</xdr:col>
      <xdr:colOff>502920</xdr:colOff>
      <xdr:row>14</xdr:row>
      <xdr:rowOff>175260</xdr:rowOff>
    </xdr:to>
    <xdr:pic>
      <xdr:nvPicPr>
        <xdr:cNvPr id="53" name="Graphic 52" descr="Star with solid fill">
          <a:extLst>
            <a:ext uri="{FF2B5EF4-FFF2-40B4-BE49-F238E27FC236}">
              <a16:creationId xmlns:a16="http://schemas.microsoft.com/office/drawing/2014/main" id="{4F4121BF-9C93-FA59-7EFA-DCFC2F97745A}"/>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5036820" y="2392680"/>
          <a:ext cx="342900" cy="342900"/>
        </a:xfrm>
        <a:prstGeom prst="rect">
          <a:avLst/>
        </a:prstGeom>
      </xdr:spPr>
    </xdr:pic>
    <xdr:clientData/>
  </xdr:twoCellAnchor>
  <xdr:twoCellAnchor>
    <xdr:from>
      <xdr:col>8</xdr:col>
      <xdr:colOff>91440</xdr:colOff>
      <xdr:row>18</xdr:row>
      <xdr:rowOff>0</xdr:rowOff>
    </xdr:from>
    <xdr:to>
      <xdr:col>12</xdr:col>
      <xdr:colOff>0</xdr:colOff>
      <xdr:row>23</xdr:row>
      <xdr:rowOff>83820</xdr:rowOff>
    </xdr:to>
    <xdr:graphicFrame macro="">
      <xdr:nvGraphicFramePr>
        <xdr:cNvPr id="59" name="Chart 58">
          <a:hlinkClick xmlns:r="http://schemas.openxmlformats.org/officeDocument/2006/relationships" r:id="rId13"/>
          <a:extLst>
            <a:ext uri="{FF2B5EF4-FFF2-40B4-BE49-F238E27FC236}">
              <a16:creationId xmlns:a16="http://schemas.microsoft.com/office/drawing/2014/main" id="{E44E889A-BFE4-460D-A9B4-CBB8BC0956D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0</xdr:col>
      <xdr:colOff>99060</xdr:colOff>
      <xdr:row>29</xdr:row>
      <xdr:rowOff>26895</xdr:rowOff>
    </xdr:from>
    <xdr:to>
      <xdr:col>11</xdr:col>
      <xdr:colOff>690282</xdr:colOff>
      <xdr:row>38</xdr:row>
      <xdr:rowOff>116542</xdr:rowOff>
    </xdr:to>
    <xdr:graphicFrame macro="">
      <xdr:nvGraphicFramePr>
        <xdr:cNvPr id="11" name="Chart 10">
          <a:extLst>
            <a:ext uri="{FF2B5EF4-FFF2-40B4-BE49-F238E27FC236}">
              <a16:creationId xmlns:a16="http://schemas.microsoft.com/office/drawing/2014/main" id="{A8ED3FBB-1F21-4953-A7D8-1CA74AF7819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4</xdr:col>
      <xdr:colOff>44824</xdr:colOff>
      <xdr:row>37</xdr:row>
      <xdr:rowOff>125506</xdr:rowOff>
    </xdr:from>
    <xdr:to>
      <xdr:col>7</xdr:col>
      <xdr:colOff>502024</xdr:colOff>
      <xdr:row>38</xdr:row>
      <xdr:rowOff>98164</xdr:rowOff>
    </xdr:to>
    <xdr:sp macro="" textlink="">
      <xdr:nvSpPr>
        <xdr:cNvPr id="12" name="TextBox 11">
          <a:extLst>
            <a:ext uri="{FF2B5EF4-FFF2-40B4-BE49-F238E27FC236}">
              <a16:creationId xmlns:a16="http://schemas.microsoft.com/office/drawing/2014/main" id="{9349CD5E-A217-4838-8FD8-D234056C399A}"/>
            </a:ext>
          </a:extLst>
        </xdr:cNvPr>
        <xdr:cNvSpPr txBox="1"/>
      </xdr:nvSpPr>
      <xdr:spPr>
        <a:xfrm>
          <a:off x="2483224" y="6759388"/>
          <a:ext cx="2286000" cy="151952"/>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b="1"/>
            <a:t>No.</a:t>
          </a:r>
          <a:r>
            <a:rPr lang="en-IN" sz="1200" b="1" baseline="0"/>
            <a:t> of Patient by Age Group</a:t>
          </a:r>
          <a:endParaRPr lang="en-IN" sz="1200" b="1"/>
        </a:p>
      </xdr:txBody>
    </xdr:sp>
    <xdr:clientData/>
  </xdr:twoCellAnchor>
  <xdr:twoCellAnchor>
    <xdr:from>
      <xdr:col>12</xdr:col>
      <xdr:colOff>69029</xdr:colOff>
      <xdr:row>13</xdr:row>
      <xdr:rowOff>17929</xdr:rowOff>
    </xdr:from>
    <xdr:to>
      <xdr:col>17</xdr:col>
      <xdr:colOff>349624</xdr:colOff>
      <xdr:row>25</xdr:row>
      <xdr:rowOff>143435</xdr:rowOff>
    </xdr:to>
    <xdr:graphicFrame macro="">
      <xdr:nvGraphicFramePr>
        <xdr:cNvPr id="13" name="Chart 12">
          <a:extLst>
            <a:ext uri="{FF2B5EF4-FFF2-40B4-BE49-F238E27FC236}">
              <a16:creationId xmlns:a16="http://schemas.microsoft.com/office/drawing/2014/main" id="{F89F7817-658F-4393-9C4C-C8640582F16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13</xdr:col>
      <xdr:colOff>358589</xdr:colOff>
      <xdr:row>24</xdr:row>
      <xdr:rowOff>62753</xdr:rowOff>
    </xdr:from>
    <xdr:to>
      <xdr:col>17</xdr:col>
      <xdr:colOff>206189</xdr:colOff>
      <xdr:row>25</xdr:row>
      <xdr:rowOff>116093</xdr:rowOff>
    </xdr:to>
    <xdr:sp macro="" textlink="">
      <xdr:nvSpPr>
        <xdr:cNvPr id="16" name="TextBox 15">
          <a:extLst>
            <a:ext uri="{FF2B5EF4-FFF2-40B4-BE49-F238E27FC236}">
              <a16:creationId xmlns:a16="http://schemas.microsoft.com/office/drawing/2014/main" id="{0EECB4A1-4104-4E97-B617-99213E935BCD}"/>
            </a:ext>
          </a:extLst>
        </xdr:cNvPr>
        <xdr:cNvSpPr txBox="1"/>
      </xdr:nvSpPr>
      <xdr:spPr>
        <a:xfrm>
          <a:off x="7844118" y="4365812"/>
          <a:ext cx="2286000" cy="232634"/>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b="1"/>
            <a:t>Patient</a:t>
          </a:r>
          <a:r>
            <a:rPr lang="en-IN" sz="1200" b="1" baseline="0"/>
            <a:t> Attend Within Time</a:t>
          </a:r>
          <a:endParaRPr lang="en-IN" sz="1200" b="1"/>
        </a:p>
      </xdr:txBody>
    </xdr:sp>
    <xdr:clientData/>
  </xdr:twoCellAnchor>
  <xdr:twoCellAnchor>
    <xdr:from>
      <xdr:col>12</xdr:col>
      <xdr:colOff>62753</xdr:colOff>
      <xdr:row>26</xdr:row>
      <xdr:rowOff>8964</xdr:rowOff>
    </xdr:from>
    <xdr:to>
      <xdr:col>17</xdr:col>
      <xdr:colOff>367553</xdr:colOff>
      <xdr:row>38</xdr:row>
      <xdr:rowOff>107576</xdr:rowOff>
    </xdr:to>
    <xdr:graphicFrame macro="">
      <xdr:nvGraphicFramePr>
        <xdr:cNvPr id="19" name="Chart 18">
          <a:extLst>
            <a:ext uri="{FF2B5EF4-FFF2-40B4-BE49-F238E27FC236}">
              <a16:creationId xmlns:a16="http://schemas.microsoft.com/office/drawing/2014/main" id="{0B7A4D73-0046-42F7-8D78-F09D0323A17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13</xdr:col>
      <xdr:colOff>331695</xdr:colOff>
      <xdr:row>37</xdr:row>
      <xdr:rowOff>44824</xdr:rowOff>
    </xdr:from>
    <xdr:to>
      <xdr:col>17</xdr:col>
      <xdr:colOff>179295</xdr:colOff>
      <xdr:row>38</xdr:row>
      <xdr:rowOff>98164</xdr:rowOff>
    </xdr:to>
    <xdr:sp macro="" textlink="">
      <xdr:nvSpPr>
        <xdr:cNvPr id="20" name="TextBox 19">
          <a:extLst>
            <a:ext uri="{FF2B5EF4-FFF2-40B4-BE49-F238E27FC236}">
              <a16:creationId xmlns:a16="http://schemas.microsoft.com/office/drawing/2014/main" id="{4A751088-8A99-4EB4-86F7-19FAEE6DA49B}"/>
            </a:ext>
          </a:extLst>
        </xdr:cNvPr>
        <xdr:cNvSpPr txBox="1"/>
      </xdr:nvSpPr>
      <xdr:spPr>
        <a:xfrm>
          <a:off x="7817224" y="6678706"/>
          <a:ext cx="2286000" cy="232634"/>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b="1"/>
            <a:t>Gender</a:t>
          </a:r>
          <a:r>
            <a:rPr lang="en-IN" sz="1200" b="1" baseline="0"/>
            <a:t> Wise Analysis</a:t>
          </a:r>
          <a:endParaRPr lang="en-IN" sz="1200" b="1"/>
        </a:p>
      </xdr:txBody>
    </xdr:sp>
    <xdr:clientData/>
  </xdr:twoCellAnchor>
  <xdr:twoCellAnchor>
    <xdr:from>
      <xdr:col>17</xdr:col>
      <xdr:colOff>439270</xdr:colOff>
      <xdr:row>13</xdr:row>
      <xdr:rowOff>26894</xdr:rowOff>
    </xdr:from>
    <xdr:to>
      <xdr:col>24</xdr:col>
      <xdr:colOff>403411</xdr:colOff>
      <xdr:row>38</xdr:row>
      <xdr:rowOff>80682</xdr:rowOff>
    </xdr:to>
    <xdr:graphicFrame macro="">
      <xdr:nvGraphicFramePr>
        <xdr:cNvPr id="21" name="Chart 20">
          <a:extLst>
            <a:ext uri="{FF2B5EF4-FFF2-40B4-BE49-F238E27FC236}">
              <a16:creationId xmlns:a16="http://schemas.microsoft.com/office/drawing/2014/main" id="{E75F8A85-6ABA-4D18-813E-531DD6776CB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xdr:from>
      <xdr:col>18</xdr:col>
      <xdr:colOff>600635</xdr:colOff>
      <xdr:row>37</xdr:row>
      <xdr:rowOff>8965</xdr:rowOff>
    </xdr:from>
    <xdr:to>
      <xdr:col>23</xdr:col>
      <xdr:colOff>233083</xdr:colOff>
      <xdr:row>38</xdr:row>
      <xdr:rowOff>53789</xdr:rowOff>
    </xdr:to>
    <xdr:sp macro="" textlink="">
      <xdr:nvSpPr>
        <xdr:cNvPr id="23" name="TextBox 22">
          <a:extLst>
            <a:ext uri="{FF2B5EF4-FFF2-40B4-BE49-F238E27FC236}">
              <a16:creationId xmlns:a16="http://schemas.microsoft.com/office/drawing/2014/main" id="{67554A1F-A9E5-4540-8230-C4633D1DB487}"/>
            </a:ext>
          </a:extLst>
        </xdr:cNvPr>
        <xdr:cNvSpPr txBox="1"/>
      </xdr:nvSpPr>
      <xdr:spPr>
        <a:xfrm>
          <a:off x="11134164" y="6642847"/>
          <a:ext cx="2680448" cy="224118"/>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b="1"/>
            <a:t>No.</a:t>
          </a:r>
          <a:r>
            <a:rPr lang="en-IN" sz="1200" b="1" baseline="0"/>
            <a:t> of Patient by Department Referral</a:t>
          </a:r>
          <a:endParaRPr lang="en-IN" sz="1200" b="1"/>
        </a:p>
      </xdr:txBody>
    </xdr:sp>
    <xdr:clientData/>
  </xdr:twoCellAnchor>
  <xdr:twoCellAnchor editAs="oneCell">
    <xdr:from>
      <xdr:col>9</xdr:col>
      <xdr:colOff>573742</xdr:colOff>
      <xdr:row>5</xdr:row>
      <xdr:rowOff>161363</xdr:rowOff>
    </xdr:from>
    <xdr:to>
      <xdr:col>13</xdr:col>
      <xdr:colOff>304801</xdr:colOff>
      <xdr:row>8</xdr:row>
      <xdr:rowOff>71718</xdr:rowOff>
    </xdr:to>
    <mc:AlternateContent xmlns:mc="http://schemas.openxmlformats.org/markup-compatibility/2006" xmlns:a14="http://schemas.microsoft.com/office/drawing/2010/main">
      <mc:Choice Requires="a14">
        <xdr:graphicFrame macro="">
          <xdr:nvGraphicFramePr>
            <xdr:cNvPr id="24" name="Date (Year)">
              <a:extLst>
                <a:ext uri="{FF2B5EF4-FFF2-40B4-BE49-F238E27FC236}">
                  <a16:creationId xmlns:a16="http://schemas.microsoft.com/office/drawing/2014/main" id="{93B5CD26-153B-48F1-94C8-9D6651029533}"/>
                </a:ext>
              </a:extLst>
            </xdr:cNvPr>
            <xdr:cNvGraphicFramePr/>
          </xdr:nvGraphicFramePr>
          <xdr:xfrm>
            <a:off x="0" y="0"/>
            <a:ext cx="0" cy="0"/>
          </xdr:xfrm>
          <a:graphic>
            <a:graphicData uri="http://schemas.microsoft.com/office/drawing/2010/slicer">
              <sle:slicer xmlns:sle="http://schemas.microsoft.com/office/drawing/2010/slicer" name="Date (Year)"/>
            </a:graphicData>
          </a:graphic>
        </xdr:graphicFrame>
      </mc:Choice>
      <mc:Fallback xmlns="">
        <xdr:sp macro="" textlink="">
          <xdr:nvSpPr>
            <xdr:cNvPr id="0" name=""/>
            <xdr:cNvSpPr>
              <a:spLocks noTextEdit="1"/>
            </xdr:cNvSpPr>
          </xdr:nvSpPr>
          <xdr:spPr>
            <a:xfrm>
              <a:off x="6060142" y="1086649"/>
              <a:ext cx="1723145" cy="46552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10</xdr:col>
      <xdr:colOff>8965</xdr:colOff>
      <xdr:row>4</xdr:row>
      <xdr:rowOff>152388</xdr:rowOff>
    </xdr:from>
    <xdr:to>
      <xdr:col>13</xdr:col>
      <xdr:colOff>277907</xdr:colOff>
      <xdr:row>6</xdr:row>
      <xdr:rowOff>53788</xdr:rowOff>
    </xdr:to>
    <xdr:sp macro="" textlink="">
      <xdr:nvSpPr>
        <xdr:cNvPr id="25" name="TextBox 24">
          <a:extLst>
            <a:ext uri="{FF2B5EF4-FFF2-40B4-BE49-F238E27FC236}">
              <a16:creationId xmlns:a16="http://schemas.microsoft.com/office/drawing/2014/main" id="{D34E06F1-2C67-420B-A56B-BEE82C62E8EF}"/>
            </a:ext>
          </a:extLst>
        </xdr:cNvPr>
        <xdr:cNvSpPr txBox="1"/>
      </xdr:nvSpPr>
      <xdr:spPr>
        <a:xfrm>
          <a:off x="6104965" y="869564"/>
          <a:ext cx="1658471" cy="259989"/>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b="1"/>
            <a:t>Select</a:t>
          </a:r>
          <a:r>
            <a:rPr lang="en-IN" sz="1200" b="1" baseline="0"/>
            <a:t> Year</a:t>
          </a:r>
          <a:endParaRPr lang="en-IN" sz="1200" b="1"/>
        </a:p>
      </xdr:txBody>
    </xdr:sp>
    <xdr:clientData/>
  </xdr:twoCellAnchor>
  <mc:AlternateContent xmlns:mc="http://schemas.openxmlformats.org/markup-compatibility/2006">
    <mc:Choice xmlns:a14="http://schemas.microsoft.com/office/drawing/2010/main" Requires="a14">
      <xdr:twoCellAnchor editAs="oneCell">
        <xdr:from>
          <xdr:col>0</xdr:col>
          <xdr:colOff>80682</xdr:colOff>
          <xdr:row>23</xdr:row>
          <xdr:rowOff>161364</xdr:rowOff>
        </xdr:from>
        <xdr:to>
          <xdr:col>11</xdr:col>
          <xdr:colOff>699247</xdr:colOff>
          <xdr:row>28</xdr:row>
          <xdr:rowOff>97971</xdr:rowOff>
        </xdr:to>
        <xdr:pic>
          <xdr:nvPicPr>
            <xdr:cNvPr id="29" name="Picture 28">
              <a:extLst>
                <a:ext uri="{FF2B5EF4-FFF2-40B4-BE49-F238E27FC236}">
                  <a16:creationId xmlns:a16="http://schemas.microsoft.com/office/drawing/2014/main" id="{52687EF9-4A8D-E4C1-D0B3-ADCF2618C1FA}"/>
                </a:ext>
              </a:extLst>
            </xdr:cNvPr>
            <xdr:cNvPicPr>
              <a:picLocks noChangeAspect="1" noChangeArrowheads="1"/>
              <a:extLst>
                <a:ext uri="{84589F7E-364E-4C9E-8A38-B11213B215E9}">
                  <a14:cameraTool cellRange="'Pivot Report'!$A$47:$D$49" spid="_x0000_s1059"/>
                </a:ext>
              </a:extLst>
            </xdr:cNvPicPr>
          </xdr:nvPicPr>
          <xdr:blipFill>
            <a:blip xmlns:r="http://schemas.openxmlformats.org/officeDocument/2006/relationships" r:embed="rId19"/>
            <a:srcRect/>
            <a:stretch>
              <a:fillRect/>
            </a:stretch>
          </xdr:blipFill>
          <xdr:spPr bwMode="auto">
            <a:xfrm>
              <a:off x="80682" y="4285129"/>
              <a:ext cx="7324165" cy="833077"/>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3.xml><?xml version="1.0" encoding="utf-8"?>
<xdr:wsDr xmlns:xdr="http://schemas.openxmlformats.org/drawingml/2006/spreadsheetDrawing" xmlns:a="http://schemas.openxmlformats.org/drawingml/2006/main">
  <xdr:twoCellAnchor>
    <xdr:from>
      <xdr:col>3</xdr:col>
      <xdr:colOff>0</xdr:colOff>
      <xdr:row>4</xdr:row>
      <xdr:rowOff>91440</xdr:rowOff>
    </xdr:from>
    <xdr:to>
      <xdr:col>20</xdr:col>
      <xdr:colOff>0</xdr:colOff>
      <xdr:row>24</xdr:row>
      <xdr:rowOff>137160</xdr:rowOff>
    </xdr:to>
    <xdr:graphicFrame macro="">
      <xdr:nvGraphicFramePr>
        <xdr:cNvPr id="2" name="Chart 1">
          <a:extLst>
            <a:ext uri="{FF2B5EF4-FFF2-40B4-BE49-F238E27FC236}">
              <a16:creationId xmlns:a16="http://schemas.microsoft.com/office/drawing/2014/main" id="{3771EB86-E585-4CE8-8F7F-9CE7149F86D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586740</xdr:colOff>
      <xdr:row>25</xdr:row>
      <xdr:rowOff>0</xdr:rowOff>
    </xdr:from>
    <xdr:to>
      <xdr:col>15</xdr:col>
      <xdr:colOff>299869</xdr:colOff>
      <xdr:row>26</xdr:row>
      <xdr:rowOff>169817</xdr:rowOff>
    </xdr:to>
    <xdr:sp macro="" textlink="">
      <xdr:nvSpPr>
        <xdr:cNvPr id="4" name="TextBox 1">
          <a:extLst>
            <a:ext uri="{FF2B5EF4-FFF2-40B4-BE49-F238E27FC236}">
              <a16:creationId xmlns:a16="http://schemas.microsoft.com/office/drawing/2014/main" id="{4D5A94DD-C19B-69C9-6A37-BEE0710576D8}"/>
            </a:ext>
          </a:extLst>
        </xdr:cNvPr>
        <xdr:cNvSpPr txBox="1"/>
      </xdr:nvSpPr>
      <xdr:spPr>
        <a:xfrm>
          <a:off x="4853940" y="4572000"/>
          <a:ext cx="4589929" cy="352697"/>
        </a:xfrm>
        <a:prstGeom prst="rect">
          <a:avLst/>
        </a:prstGeom>
      </xdr:spPr>
      <xdr:txBody>
        <a:bodyPr wrap="square" rtlCol="0"/>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r>
            <a:rPr lang="en-IN" sz="1600" kern="1200">
              <a:solidFill>
                <a:schemeClr val="bg1"/>
              </a:solidFill>
            </a:rPr>
            <a:t>No.</a:t>
          </a:r>
          <a:r>
            <a:rPr lang="en-IN" sz="1600" kern="1200" baseline="0">
              <a:solidFill>
                <a:schemeClr val="bg1"/>
              </a:solidFill>
            </a:rPr>
            <a:t> of Patient Comes Emergency Room Each Day</a:t>
          </a:r>
          <a:endParaRPr lang="en-IN" sz="1600" kern="1200">
            <a:solidFill>
              <a:schemeClr val="bg1"/>
            </a:solidFill>
          </a:endParaRPr>
        </a:p>
      </xdr:txBody>
    </xdr:sp>
    <xdr:clientData/>
  </xdr:twoCellAnchor>
  <xdr:twoCellAnchor editAs="oneCell">
    <xdr:from>
      <xdr:col>0</xdr:col>
      <xdr:colOff>22860</xdr:colOff>
      <xdr:row>0</xdr:row>
      <xdr:rowOff>0</xdr:rowOff>
    </xdr:from>
    <xdr:to>
      <xdr:col>1</xdr:col>
      <xdr:colOff>0</xdr:colOff>
      <xdr:row>3</xdr:row>
      <xdr:rowOff>38100</xdr:rowOff>
    </xdr:to>
    <xdr:pic>
      <xdr:nvPicPr>
        <xdr:cNvPr id="6" name="Graphic 5" descr="Home with solid fill">
          <a:hlinkClick xmlns:r="http://schemas.openxmlformats.org/officeDocument/2006/relationships" r:id="rId2"/>
          <a:extLst>
            <a:ext uri="{FF2B5EF4-FFF2-40B4-BE49-F238E27FC236}">
              <a16:creationId xmlns:a16="http://schemas.microsoft.com/office/drawing/2014/main" id="{40A57854-42E2-8215-C0CC-CE7F3F86FE01}"/>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22860" y="0"/>
          <a:ext cx="586740" cy="58674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3</xdr:col>
      <xdr:colOff>0</xdr:colOff>
      <xdr:row>4</xdr:row>
      <xdr:rowOff>0</xdr:rowOff>
    </xdr:from>
    <xdr:to>
      <xdr:col>20</xdr:col>
      <xdr:colOff>0</xdr:colOff>
      <xdr:row>23</xdr:row>
      <xdr:rowOff>175260</xdr:rowOff>
    </xdr:to>
    <xdr:graphicFrame macro="">
      <xdr:nvGraphicFramePr>
        <xdr:cNvPr id="2" name="Chart 1">
          <a:extLst>
            <a:ext uri="{FF2B5EF4-FFF2-40B4-BE49-F238E27FC236}">
              <a16:creationId xmlns:a16="http://schemas.microsoft.com/office/drawing/2014/main" id="{FF243A6A-B149-4DAF-B7CD-B2D0E76BEAF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0</xdr:colOff>
      <xdr:row>0</xdr:row>
      <xdr:rowOff>0</xdr:rowOff>
    </xdr:from>
    <xdr:to>
      <xdr:col>0</xdr:col>
      <xdr:colOff>586740</xdr:colOff>
      <xdr:row>3</xdr:row>
      <xdr:rowOff>38100</xdr:rowOff>
    </xdr:to>
    <xdr:pic>
      <xdr:nvPicPr>
        <xdr:cNvPr id="3" name="Graphic 2" descr="Home with solid fill">
          <a:hlinkClick xmlns:r="http://schemas.openxmlformats.org/officeDocument/2006/relationships" r:id="rId2"/>
          <a:extLst>
            <a:ext uri="{FF2B5EF4-FFF2-40B4-BE49-F238E27FC236}">
              <a16:creationId xmlns:a16="http://schemas.microsoft.com/office/drawing/2014/main" id="{C9A23ACD-42A0-4661-A1BC-27FCDC23B897}"/>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0" y="0"/>
          <a:ext cx="586740" cy="58674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xdr:from>
      <xdr:col>2</xdr:col>
      <xdr:colOff>335280</xdr:colOff>
      <xdr:row>3</xdr:row>
      <xdr:rowOff>38100</xdr:rowOff>
    </xdr:from>
    <xdr:to>
      <xdr:col>20</xdr:col>
      <xdr:colOff>335280</xdr:colOff>
      <xdr:row>24</xdr:row>
      <xdr:rowOff>38100</xdr:rowOff>
    </xdr:to>
    <xdr:graphicFrame macro="">
      <xdr:nvGraphicFramePr>
        <xdr:cNvPr id="2" name="Chart 1">
          <a:extLst>
            <a:ext uri="{FF2B5EF4-FFF2-40B4-BE49-F238E27FC236}">
              <a16:creationId xmlns:a16="http://schemas.microsoft.com/office/drawing/2014/main" id="{B88D3A34-3FE9-4857-BC69-750B1068201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0</xdr:colOff>
      <xdr:row>0</xdr:row>
      <xdr:rowOff>0</xdr:rowOff>
    </xdr:from>
    <xdr:to>
      <xdr:col>0</xdr:col>
      <xdr:colOff>586740</xdr:colOff>
      <xdr:row>3</xdr:row>
      <xdr:rowOff>38100</xdr:rowOff>
    </xdr:to>
    <xdr:pic>
      <xdr:nvPicPr>
        <xdr:cNvPr id="3" name="Graphic 2" descr="Home with solid fill">
          <a:hlinkClick xmlns:r="http://schemas.openxmlformats.org/officeDocument/2006/relationships" r:id="rId2"/>
          <a:extLst>
            <a:ext uri="{FF2B5EF4-FFF2-40B4-BE49-F238E27FC236}">
              <a16:creationId xmlns:a16="http://schemas.microsoft.com/office/drawing/2014/main" id="{1481AC4A-4379-4564-A4CE-6774E5812F62}"/>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0" y="0"/>
          <a:ext cx="586740" cy="586740"/>
        </a:xfrm>
        <a:prstGeom prst="rect">
          <a:avLst/>
        </a:prstGeom>
      </xdr:spPr>
    </xdr:pic>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nshu" refreshedDate="46054.823079050926" backgroundQuery="1" createdVersion="8" refreshedVersion="8" minRefreshableVersion="3" recordCount="0" supportSubquery="1" supportAdvancedDrill="1" xr:uid="{256F239D-E6E2-4BE7-BB3E-44447A1548A2}">
  <cacheSource type="external" connectionId="3"/>
  <cacheFields count="4">
    <cacheField name="[Measures].[Count of Patient Id]" caption="Count of Patient Id" numFmtId="0" hierarchy="23" level="32767"/>
    <cacheField name="[Calendar_Table].[Date (Day)].[Date (Day)]" caption="Date (Day)" numFmtId="0" hierarchy="2" level="1">
      <sharedItems count="29">
        <s v="1-Feb"/>
        <s v="2-Feb"/>
        <s v="3-Feb"/>
        <s v="4-Feb"/>
        <s v="5-Feb"/>
        <s v="6-Feb"/>
        <s v="7-Feb"/>
        <s v="8-Feb"/>
        <s v="9-Feb"/>
        <s v="10-Feb"/>
        <s v="11-Feb"/>
        <s v="12-Feb"/>
        <s v="13-Feb"/>
        <s v="14-Feb"/>
        <s v="15-Feb"/>
        <s v="16-Feb"/>
        <s v="17-Feb"/>
        <s v="18-Feb"/>
        <s v="19-Feb"/>
        <s v="20-Feb"/>
        <s v="21-Feb"/>
        <s v="22-Feb"/>
        <s v="23-Feb"/>
        <s v="24-Feb"/>
        <s v="25-Feb"/>
        <s v="26-Feb"/>
        <s v="27-Feb"/>
        <s v="28-Feb"/>
        <s v="29-Feb"/>
      </sharedItems>
    </cacheField>
    <cacheField name="[Calendar_Table].[Date (Month)].[Date (Month)]" caption="Date (Month)" numFmtId="0" hierarchy="1" level="1">
      <sharedItems containsSemiMixedTypes="0" containsNonDate="0" containsString="0"/>
    </cacheField>
    <cacheField name="[Calendar_Table].[Date (Year)].[Date (Year)]" caption="Date (Year)" numFmtId="0" hierarchy="3" level="1">
      <sharedItems containsSemiMixedTypes="0" containsNonDate="0" containsString="0"/>
    </cacheField>
  </cacheFields>
  <cacheHierarchies count="34">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2"/>
      </fieldsUsage>
    </cacheHierarchy>
    <cacheHierarchy uniqueName="[Calendar_Table].[Date (Day)]" caption="Date (Day)" attribute="1" defaultMemberUniqueName="[Calendar_Table].[Date (Day)].[All]" allUniqueName="[Calendar_Table].[Date (Day)].[All]" dimensionUniqueName="[Calendar_Table]" displayFolder="" count="2" memberValueDatatype="130" unbalanced="0">
      <fieldsUsage count="2">
        <fieldUsage x="-1"/>
        <fieldUsage x="1"/>
      </fieldsUsage>
    </cacheHierarchy>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ence Status]" caption="Patient Attendence Status" attribute="1" defaultMemberUniqueName="[Hospital Emergency Room Data].[Patient Attendence Status].[All]" allUniqueName="[Hospital Emergency Room Data].[Patient Attendence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oneField="1" hidden="1">
      <fieldsUsage count="1">
        <fieldUsage x="0"/>
      </fieldsUsage>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ttendence Status]" caption="Count of Patient Attendence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Distinct Count of Patient Admission Flag]" caption="Distinct 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nshu" refreshedDate="46054.823079282411" backgroundQuery="1" createdVersion="8" refreshedVersion="8" minRefreshableVersion="3" recordCount="0" supportSubquery="1" supportAdvancedDrill="1" xr:uid="{B5AAC681-1DB1-48ED-888D-AFE2439E3A5F}">
  <cacheSource type="external" connectionId="3"/>
  <cacheFields count="3">
    <cacheField name="[Measures].[Count of Patient Id]" caption="Count of Patient Id" numFmtId="0" hierarchy="23" level="32767"/>
    <cacheField name="[Calendar_Table].[Date (Month)].[Date (Month)]" caption="Date (Month)" numFmtId="0" hierarchy="1" level="1">
      <sharedItems containsSemiMixedTypes="0" containsNonDate="0" containsString="0"/>
    </cacheField>
    <cacheField name="[Calendar_Table].[Date (Year)].[Date (Year)]" caption="Date (Year)" numFmtId="0" hierarchy="3" level="1">
      <sharedItems containsSemiMixedTypes="0" containsNonDate="0" containsString="0"/>
    </cacheField>
  </cacheFields>
  <cacheHierarchies count="34">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1"/>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2"/>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ence Status]" caption="Patient Attendence Status" attribute="1" defaultMemberUniqueName="[Hospital Emergency Room Data].[Patient Attendence Status].[All]" allUniqueName="[Hospital Emergency Room Data].[Patient Attendence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oneField="1" hidden="1">
      <fieldsUsage count="1">
        <fieldUsage x="0"/>
      </fieldsUsage>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ttendence Status]" caption="Count of Patient Attendence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Distinct Count of Patient Admission Flag]" caption="Distinct 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nshu" refreshedDate="46054.823079398149" backgroundQuery="1" createdVersion="8" refreshedVersion="8" minRefreshableVersion="3" recordCount="0" supportSubquery="1" supportAdvancedDrill="1" xr:uid="{C91A606B-2839-4133-A986-2951C8456D18}">
  <cacheSource type="external" connectionId="3"/>
  <cacheFields count="3">
    <cacheField name="[Measures].[Average of Patient Waittime]" caption="Average of Patient Waittime" numFmtId="0" hierarchy="25" level="32767"/>
    <cacheField name="[Calendar_Table].[Date (Month)].[Date (Month)]" caption="Date (Month)" numFmtId="0" hierarchy="1" level="1">
      <sharedItems containsSemiMixedTypes="0" containsNonDate="0" containsString="0"/>
    </cacheField>
    <cacheField name="[Calendar_Table].[Date (Year)].[Date (Year)]" caption="Date (Year)" numFmtId="0" hierarchy="3" level="1">
      <sharedItems containsSemiMixedTypes="0" containsNonDate="0" containsString="0"/>
    </cacheField>
  </cacheFields>
  <cacheHierarchies count="34">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1"/>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2"/>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ence Status]" caption="Patient Attendence Status" attribute="1" defaultMemberUniqueName="[Hospital Emergency Room Data].[Patient Attendence Status].[All]" allUniqueName="[Hospital Emergency Room Data].[Patient Attendence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oneField="1" hidden="1">
      <fieldsUsage count="1">
        <fieldUsage x="0"/>
      </fieldsUsage>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ttendence Status]" caption="Count of Patient Attendence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Distinct Count of Patient Admission Flag]" caption="Distinct 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nshu" refreshedDate="46054.823079629627" backgroundQuery="1" createdVersion="8" refreshedVersion="8" minRefreshableVersion="3" recordCount="0" supportSubquery="1" supportAdvancedDrill="1" xr:uid="{31B138C9-8A56-4A54-A83A-A2E846DB70D5}">
  <cacheSource type="external" connectionId="3"/>
  <cacheFields count="3">
    <cacheField name="[Measures].[Average of Patient Satisfaction Score]" caption="Average of Patient Satisfaction Score" numFmtId="0" hierarchy="27" level="32767"/>
    <cacheField name="[Calendar_Table].[Date (Month)].[Date (Month)]" caption="Date (Month)" numFmtId="0" hierarchy="1" level="1">
      <sharedItems containsSemiMixedTypes="0" containsNonDate="0" containsString="0"/>
    </cacheField>
    <cacheField name="[Calendar_Table].[Date (Year)].[Date (Year)]" caption="Date (Year)" numFmtId="0" hierarchy="3" level="1">
      <sharedItems containsSemiMixedTypes="0" containsNonDate="0" containsString="0"/>
    </cacheField>
  </cacheFields>
  <cacheHierarchies count="34">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1"/>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2"/>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ence Status]" caption="Patient Attendence Status" attribute="1" defaultMemberUniqueName="[Hospital Emergency Room Data].[Patient Attendence Status].[All]" allUniqueName="[Hospital Emergency Room Data].[Patient Attendence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oneField="1" hidden="1">
      <fieldsUsage count="1">
        <fieldUsage x="0"/>
      </fieldsUsage>
      <extLst>
        <ext xmlns:x15="http://schemas.microsoft.com/office/spreadsheetml/2010/11/main" uri="{B97F6D7D-B522-45F9-BDA1-12C45D357490}">
          <x15:cacheHierarchy aggregatedColumn="14"/>
        </ext>
      </extLst>
    </cacheHierarchy>
    <cacheHierarchy uniqueName="[Measures].[Count of Patient Attendence Status]" caption="Count of Patient Attendence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Distinct Count of Patient Admission Flag]" caption="Distinct 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nshu" refreshedDate="46054.82307997685" backgroundQuery="1" createdVersion="8" refreshedVersion="8" minRefreshableVersion="3" recordCount="0" supportSubquery="1" supportAdvancedDrill="1" xr:uid="{0A73F303-0A67-49CA-8F83-332FFC2D4F4F}">
  <cacheSource type="external" connectionId="3"/>
  <cacheFields count="4">
    <cacheField name="[Calendar_Table].[Date (Day)].[Date (Day)]" caption="Date (Day)" numFmtId="0" hierarchy="2" level="1">
      <sharedItems count="29">
        <s v="1-Feb"/>
        <s v="2-Feb"/>
        <s v="3-Feb"/>
        <s v="4-Feb"/>
        <s v="5-Feb"/>
        <s v="6-Feb"/>
        <s v="7-Feb"/>
        <s v="8-Feb"/>
        <s v="9-Feb"/>
        <s v="10-Feb"/>
        <s v="11-Feb"/>
        <s v="12-Feb"/>
        <s v="13-Feb"/>
        <s v="14-Feb"/>
        <s v="15-Feb"/>
        <s v="16-Feb"/>
        <s v="17-Feb"/>
        <s v="18-Feb"/>
        <s v="19-Feb"/>
        <s v="20-Feb"/>
        <s v="21-Feb"/>
        <s v="22-Feb"/>
        <s v="23-Feb"/>
        <s v="24-Feb"/>
        <s v="25-Feb"/>
        <s v="26-Feb"/>
        <s v="27-Feb"/>
        <s v="28-Feb"/>
        <s v="29-Feb"/>
      </sharedItems>
    </cacheField>
    <cacheField name="[Calendar_Table].[Date (Month)].[Date (Month)]" caption="Date (Month)" numFmtId="0" hierarchy="1" level="1">
      <sharedItems containsSemiMixedTypes="0" containsNonDate="0" containsString="0"/>
    </cacheField>
    <cacheField name="[Measures].[Average of Patient Waittime]" caption="Average of Patient Waittime" numFmtId="0" hierarchy="25" level="32767"/>
    <cacheField name="[Calendar_Table].[Date (Year)].[Date (Year)]" caption="Date (Year)" numFmtId="0" hierarchy="3" level="1">
      <sharedItems containsSemiMixedTypes="0" containsNonDate="0" containsString="0"/>
    </cacheField>
  </cacheFields>
  <cacheHierarchies count="34">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1"/>
      </fieldsUsage>
    </cacheHierarchy>
    <cacheHierarchy uniqueName="[Calendar_Table].[Date (Day)]" caption="Date (Day)" attribute="1" defaultMemberUniqueName="[Calendar_Table].[Date (Day)].[All]" allUniqueName="[Calendar_Table].[Date (Day)].[All]" dimensionUniqueName="[Calendar_Table]" displayFolder="" count="2" memberValueDatatype="130" unbalanced="0">
      <fieldsUsage count="2">
        <fieldUsage x="-1"/>
        <fieldUsage x="0"/>
      </fieldsUsage>
    </cacheHierarchy>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ence Status]" caption="Patient Attendence Status" attribute="1" defaultMemberUniqueName="[Hospital Emergency Room Data].[Patient Attendence Status].[All]" allUniqueName="[Hospital Emergency Room Data].[Patient Attendence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oneField="1" hidden="1">
      <fieldsUsage count="1">
        <fieldUsage x="2"/>
      </fieldsUsage>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ttendence Status]" caption="Count of Patient Attendence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Distinct Count of Patient Admission Flag]" caption="Distinct 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nshu" refreshedDate="46054.823080555558" backgroundQuery="1" createdVersion="8" refreshedVersion="8" minRefreshableVersion="3" recordCount="0" supportSubquery="1" supportAdvancedDrill="1" xr:uid="{737A3F8E-A2BD-44C1-9C83-3E6D2E1BA2D3}">
  <cacheSource type="external" connectionId="3"/>
  <cacheFields count="4">
    <cacheField name="[Calendar_Table].[Date (Day)].[Date (Day)]" caption="Date (Day)" numFmtId="0" hierarchy="2" level="1">
      <sharedItems count="28">
        <s v="1-Feb"/>
        <s v="2-Feb"/>
        <s v="3-Feb"/>
        <s v="4-Feb"/>
        <s v="5-Feb"/>
        <s v="6-Feb"/>
        <s v="7-Feb"/>
        <s v="8-Feb"/>
        <s v="9-Feb"/>
        <s v="10-Feb"/>
        <s v="11-Feb"/>
        <s v="12-Feb"/>
        <s v="13-Feb"/>
        <s v="14-Feb"/>
        <s v="15-Feb"/>
        <s v="16-Feb"/>
        <s v="17-Feb"/>
        <s v="18-Feb"/>
        <s v="19-Feb"/>
        <s v="20-Feb"/>
        <s v="21-Feb"/>
        <s v="22-Feb"/>
        <s v="23-Feb"/>
        <s v="24-Feb"/>
        <s v="25-Feb"/>
        <s v="27-Feb"/>
        <s v="28-Feb"/>
        <s v="29-Feb"/>
      </sharedItems>
    </cacheField>
    <cacheField name="[Calendar_Table].[Date (Month)].[Date (Month)]" caption="Date (Month)" numFmtId="0" hierarchy="1" level="1">
      <sharedItems containsSemiMixedTypes="0" containsNonDate="0" containsString="0"/>
    </cacheField>
    <cacheField name="[Measures].[Average of Patient Satisfaction Score]" caption="Average of Patient Satisfaction Score" numFmtId="0" hierarchy="27" level="32767"/>
    <cacheField name="[Calendar_Table].[Date (Year)].[Date (Year)]" caption="Date (Year)" numFmtId="0" hierarchy="3" level="1">
      <sharedItems containsSemiMixedTypes="0" containsNonDate="0" containsString="0"/>
    </cacheField>
  </cacheFields>
  <cacheHierarchies count="34">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1"/>
      </fieldsUsage>
    </cacheHierarchy>
    <cacheHierarchy uniqueName="[Calendar_Table].[Date (Day)]" caption="Date (Day)" attribute="1" defaultMemberUniqueName="[Calendar_Table].[Date (Day)].[All]" allUniqueName="[Calendar_Table].[Date (Day)].[All]" dimensionUniqueName="[Calendar_Table]" displayFolder="" count="2" memberValueDatatype="130" unbalanced="0">
      <fieldsUsage count="2">
        <fieldUsage x="-1"/>
        <fieldUsage x="0"/>
      </fieldsUsage>
    </cacheHierarchy>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ence Status]" caption="Patient Attendence Status" attribute="1" defaultMemberUniqueName="[Hospital Emergency Room Data].[Patient Attendence Status].[All]" allUniqueName="[Hospital Emergency Room Data].[Patient Attendence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oneField="1" hidden="1">
      <fieldsUsage count="1">
        <fieldUsage x="2"/>
      </fieldsUsage>
      <extLst>
        <ext xmlns:x15="http://schemas.microsoft.com/office/spreadsheetml/2010/11/main" uri="{B97F6D7D-B522-45F9-BDA1-12C45D357490}">
          <x15:cacheHierarchy aggregatedColumn="14"/>
        </ext>
      </extLst>
    </cacheHierarchy>
    <cacheHierarchy uniqueName="[Measures].[Count of Patient Attendence Status]" caption="Count of Patient Attendence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Distinct Count of Patient Admission Flag]" caption="Distinct 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nshu" refreshedDate="46054.823080902781" backgroundQuery="1" createdVersion="8" refreshedVersion="8" minRefreshableVersion="3" recordCount="0" supportSubquery="1" supportAdvancedDrill="1" xr:uid="{E071BFFB-425B-49BB-A325-E20411112FBA}">
  <cacheSource type="external" connectionId="3"/>
  <cacheFields count="5">
    <cacheField name="[Calendar_Table].[Date (Month)].[Date (Month)]" caption="Date (Month)" numFmtId="0" hierarchy="1" level="1">
      <sharedItems containsSemiMixedTypes="0" containsNonDate="0" containsString="0"/>
    </cacheField>
    <cacheField name="[Hospital Emergency Room Data].[Patient Admission Flag].[Patient Admission Flag]" caption="Patient Admission Flag" numFmtId="0" hierarchy="13" level="1">
      <sharedItems count="2">
        <s v="Admitted"/>
        <s v="Not Admitted"/>
      </sharedItems>
    </cacheField>
    <cacheField name="[Measures].[Count of Patient Admission Flag]" caption="Count of Patient Admission Flag" numFmtId="0" hierarchy="29" level="32767"/>
    <cacheField name="[Calendar_Table].[Date (Year)].[Date (Year)]" caption="Date (Year)" numFmtId="0" hierarchy="3" level="1">
      <sharedItems containsSemiMixedTypes="0" containsNonDate="0" containsString="0"/>
    </cacheField>
    <cacheField name="Unsupported0" numFmtId="0" hierarchy="34" level="32767">
      <extLst>
        <ext xmlns:x14="http://schemas.microsoft.com/office/spreadsheetml/2009/9/main" uri="{63CAB8AC-B538-458d-9737-405883B0398D}">
          <x14:cacheField ignore="1"/>
        </ext>
      </extLst>
    </cacheField>
  </cacheFields>
  <cacheHierarchies count="35">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2" memberValueDatatype="130" unbalanced="0">
      <fieldsUsage count="2">
        <fieldUsage x="-1"/>
        <fieldUsage x="1"/>
      </fieldsUsage>
    </cacheHierarchy>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ence Status]" caption="Patient Attendence Status" attribute="1" defaultMemberUniqueName="[Hospital Emergency Room Data].[Patient Attendence Status].[All]" allUniqueName="[Hospital Emergency Room Data].[Patient Attendence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ttendence Status]" caption="Count of Patient Attendence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count="0" oneField="1" hidden="1">
      <fieldsUsage count="1">
        <fieldUsage x="2"/>
      </fieldsUsage>
      <extLst>
        <ext xmlns:x15="http://schemas.microsoft.com/office/spreadsheetml/2010/11/main" uri="{B97F6D7D-B522-45F9-BDA1-12C45D357490}">
          <x15:cacheHierarchy aggregatedColumn="13"/>
        </ext>
      </extLst>
    </cacheHierarchy>
    <cacheHierarchy uniqueName="[Measures].[Distinct Count of Patient Admission Flag]" caption="Distinct 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y uniqueName="Unsupported0" caption="Date" measure="1" count="0">
      <extLst>
        <ext xmlns:x14="http://schemas.microsoft.com/office/spreadsheetml/2009/9/main" uri="{8CF416AD-EC4C-4aba-99F5-12A058AE0983}">
          <x14:cacheHierarchy ignore="1"/>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nshu" refreshedDate="46054.823081249997" backgroundQuery="1" createdVersion="8" refreshedVersion="8" minRefreshableVersion="3" recordCount="0" supportSubquery="1" supportAdvancedDrill="1" xr:uid="{FE3F6995-8BD6-49C4-B1B1-21FED0A4F930}">
  <cacheSource type="external" connectionId="3"/>
  <cacheFields count="4">
    <cacheField name="[Hospital Emergency Room Data].[Age Group].[Age Group]" caption="Age Group" numFmtId="0" hierarchy="16" level="1">
      <sharedItems count="8">
        <s v="0-09"/>
        <s v="10-19"/>
        <s v="20-29"/>
        <s v="30-39"/>
        <s v="40-49"/>
        <s v="50-59"/>
        <s v="60-69"/>
        <s v="70-79"/>
      </sharedItems>
    </cacheField>
    <cacheField name="[Measures].[Count of Age Group]" caption="Count of Age Group" numFmtId="0" hierarchy="31" level="32767"/>
    <cacheField name="[Calendar_Table].[Date (Month)].[Date (Month)]" caption="Date (Month)" numFmtId="0" hierarchy="1" level="1">
      <sharedItems containsSemiMixedTypes="0" containsNonDate="0" containsString="0"/>
    </cacheField>
    <cacheField name="[Calendar_Table].[Date (Year)].[Date (Year)]" caption="Date (Year)" numFmtId="0" hierarchy="3" level="1">
      <sharedItems containsSemiMixedTypes="0" containsNonDate="0" containsString="0"/>
    </cacheField>
  </cacheFields>
  <cacheHierarchies count="34">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2"/>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2" memberValueDatatype="130" unbalanced="0">
      <fieldsUsage count="2">
        <fieldUsage x="-1"/>
        <fieldUsage x="0"/>
      </fieldsUsage>
    </cacheHierarchy>
    <cacheHierarchy uniqueName="[Hospital Emergency Room Data].[Patient Attendence Status]" caption="Patient Attendence Status" attribute="1" defaultMemberUniqueName="[Hospital Emergency Room Data].[Patient Attendence Status].[All]" allUniqueName="[Hospital Emergency Room Data].[Patient Attendence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ttendence Status]" caption="Count of Patient Attendence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Distinct Count of Patient Admission Flag]" caption="Distinct 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oneField="1" hidden="1">
      <fieldsUsage count="1">
        <fieldUsage x="1"/>
      </fieldsUsage>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nshu" refreshedDate="46054.82308159722" backgroundQuery="1" createdVersion="8" refreshedVersion="8" minRefreshableVersion="3" recordCount="0" supportSubquery="1" supportAdvancedDrill="1" xr:uid="{DB642B28-F613-4606-8C1F-5D2DFCBA7548}">
  <cacheSource type="external" connectionId="3"/>
  <cacheFields count="4">
    <cacheField name="[Calendar_Table].[Date (Month)].[Date (Month)]" caption="Date (Month)" numFmtId="0" hierarchy="1" level="1">
      <sharedItems containsSemiMixedTypes="0" containsNonDate="0" containsString="0"/>
    </cacheField>
    <cacheField name="[Hospital Emergency Room Data].[Patient Attendence Status].[Patient Attendence Status]" caption="Patient Attendence Status" numFmtId="0" hierarchy="17" level="1">
      <sharedItems count="2">
        <s v="Delay"/>
        <s v="Ontime"/>
      </sharedItems>
    </cacheField>
    <cacheField name="[Measures].[Count of Patient Attendence Status]" caption="Count of Patient Attendence Status" numFmtId="0" hierarchy="28" level="32767"/>
    <cacheField name="[Calendar_Table].[Date (Year)].[Date (Year)]" caption="Date (Year)" numFmtId="0" hierarchy="3" level="1">
      <sharedItems containsSemiMixedTypes="0" containsNonDate="0" containsString="0"/>
    </cacheField>
  </cacheFields>
  <cacheHierarchies count="34">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ence Status]" caption="Patient Attendence Status" attribute="1" defaultMemberUniqueName="[Hospital Emergency Room Data].[Patient Attendence Status].[All]" allUniqueName="[Hospital Emergency Room Data].[Patient Attendence Status].[All]" dimensionUniqueName="[Hospital Emergency Room Data]" displayFolder="" count="2" memberValueDatatype="130" unbalanced="0">
      <fieldsUsage count="2">
        <fieldUsage x="-1"/>
        <fieldUsage x="1"/>
      </fieldsUsage>
    </cacheHierarchy>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ttendence Status]" caption="Count of Patient Attendence Status" measure="1" displayFolder="" measureGroup="Hospital Emergency Room Data" count="0" oneField="1" hidden="1">
      <fieldsUsage count="1">
        <fieldUsage x="2"/>
      </fieldsUsage>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Distinct Count of Patient Admission Flag]" caption="Distinct 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nshu" refreshedDate="46054.823081944443" backgroundQuery="1" createdVersion="8" refreshedVersion="8" minRefreshableVersion="3" recordCount="0" supportSubquery="1" supportAdvancedDrill="1" xr:uid="{447203A3-9786-46C2-8FC4-5702D11211DF}">
  <cacheSource type="external" connectionId="3"/>
  <cacheFields count="4">
    <cacheField name="[Calendar_Table].[Date (Month)].[Date (Month)]" caption="Date (Month)" numFmtId="0" hierarchy="1" level="1">
      <sharedItems containsSemiMixedTypes="0" containsNonDate="0" containsString="0"/>
    </cacheField>
    <cacheField name="[Hospital Emergency Room Data].[Patient Gender].[Patient Gender]" caption="Patient Gender" numFmtId="0" hierarchy="9" level="1">
      <sharedItems count="2">
        <s v="Female"/>
        <s v="Male"/>
      </sharedItems>
    </cacheField>
    <cacheField name="[Measures].[Count of Patient Gender]" caption="Count of Patient Gender" numFmtId="0" hierarchy="32" level="32767"/>
    <cacheField name="[Calendar_Table].[Date (Year)].[Date (Year)]" caption="Date (Year)" numFmtId="0" hierarchy="3" level="1">
      <sharedItems containsSemiMixedTypes="0" containsNonDate="0" containsString="0"/>
    </cacheField>
  </cacheFields>
  <cacheHierarchies count="34">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2" memberValueDatatype="130" unbalanced="0">
      <fieldsUsage count="2">
        <fieldUsage x="-1"/>
        <fieldUsage x="1"/>
      </fieldsUsage>
    </cacheHierarchy>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ence Status]" caption="Patient Attendence Status" attribute="1" defaultMemberUniqueName="[Hospital Emergency Room Data].[Patient Attendence Status].[All]" allUniqueName="[Hospital Emergency Room Data].[Patient Attendence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ttendence Status]" caption="Count of Patient Attendence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Distinct Count of Patient Admission Flag]" caption="Distinct 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oneField="1" hidden="1">
      <fieldsUsage count="1">
        <fieldUsage x="2"/>
      </fieldsUsage>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nshu" refreshedDate="46054.823082291667" backgroundQuery="1" createdVersion="8" refreshedVersion="8" minRefreshableVersion="3" recordCount="0" supportSubquery="1" supportAdvancedDrill="1" xr:uid="{EF8074A2-D362-493B-B8F9-599C7F09A0AF}">
  <cacheSource type="external" connectionId="3"/>
  <cacheFields count="4">
    <cacheField name="[Calendar_Table].[Date (Month)].[Date (Month)]" caption="Date (Month)" numFmtId="0" hierarchy="1" level="1">
      <sharedItems containsSemiMixedTypes="0" containsNonDate="0" containsString="0"/>
    </cacheField>
    <cacheField name="[Hospital Emergency Room Data].[Department Referral].[Department Referral]" caption="Department Referral" numFmtId="0" hierarchy="12" level="1">
      <sharedItems count="8">
        <s v="Cardiology"/>
        <s v="Gastroenterology"/>
        <s v="General Practice"/>
        <s v="Neurology"/>
        <s v="None"/>
        <s v="Orthopedics"/>
        <s v="Physiotherapy"/>
        <s v="Renal"/>
      </sharedItems>
    </cacheField>
    <cacheField name="[Measures].[Count of Department Referral]" caption="Count of Department Referral" numFmtId="0" hierarchy="33" level="32767"/>
    <cacheField name="[Calendar_Table].[Date (Year)].[Date (Year)]" caption="Date (Year)" numFmtId="0" hierarchy="3" level="1">
      <sharedItems containsSemiMixedTypes="0" containsNonDate="0" containsString="0"/>
    </cacheField>
  </cacheFields>
  <cacheHierarchies count="34">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2" memberValueDatatype="130" unbalanced="0">
      <fieldsUsage count="2">
        <fieldUsage x="-1"/>
        <fieldUsage x="1"/>
      </fieldsUsage>
    </cacheHierarchy>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ence Status]" caption="Patient Attendence Status" attribute="1" defaultMemberUniqueName="[Hospital Emergency Room Data].[Patient Attendence Status].[All]" allUniqueName="[Hospital Emergency Room Data].[Patient Attendence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ttendence Status]" caption="Count of Patient Attendence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Distinct Count of Patient Admission Flag]" caption="Distinct 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oneField="1" hidden="1">
      <fieldsUsage count="1">
        <fieldUsage x="2"/>
      </fieldsUsage>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nshu" refreshedDate="46054.82308263889" backgroundQuery="1" createdVersion="8" refreshedVersion="8" minRefreshableVersion="3" recordCount="0" supportSubquery="1" supportAdvancedDrill="1" xr:uid="{2F78318F-16DA-4CD2-A817-C62925A4782E}">
  <cacheSource type="external" connectionId="3"/>
  <cacheFields count="4">
    <cacheField name="[Calendar_Table].[Date].[Date]" caption="Date" numFmtId="0" level="1">
      <sharedItems containsSemiMixedTypes="0" containsNonDate="0" containsDate="1" containsString="0" minDate="2023-01-01T00:00:00" maxDate="2025-01-01T00:00:00" count="731">
        <d v="2023-01-01T00:00:00"/>
        <d v="2023-01-02T00:00:00"/>
        <d v="2023-01-03T00:00:00"/>
        <d v="2023-01-04T00:00:00"/>
        <d v="2023-01-05T00:00:00"/>
        <d v="2023-01-06T00:00:00"/>
        <d v="2023-01-07T00:00:00"/>
        <d v="2023-01-08T00:00:00"/>
        <d v="2023-01-09T00:00:00"/>
        <d v="2023-01-10T00:00:00"/>
        <d v="2023-01-11T00:00:00"/>
        <d v="2023-01-12T00:00:00"/>
        <d v="2023-01-13T00:00:00"/>
        <d v="2023-01-14T00:00:00"/>
        <d v="2023-01-15T00:00:00"/>
        <d v="2023-01-16T00:00:00"/>
        <d v="2023-01-17T00:00:00"/>
        <d v="2023-01-18T00:00:00"/>
        <d v="2023-01-19T00:00:00"/>
        <d v="2023-01-20T00:00:00"/>
        <d v="2023-01-21T00:00:00"/>
        <d v="2023-01-22T00:00:00"/>
        <d v="2023-01-23T00:00:00"/>
        <d v="2023-01-24T00:00:00"/>
        <d v="2023-01-25T00:00:00"/>
        <d v="2023-01-26T00:00:00"/>
        <d v="2023-01-27T00:00:00"/>
        <d v="2023-01-28T00:00:00"/>
        <d v="2023-01-29T00:00:00"/>
        <d v="2023-01-30T00:00:00"/>
        <d v="2023-01-31T00:00:00"/>
        <d v="2023-02-01T00:00:00"/>
        <d v="2023-02-02T00:00:00"/>
        <d v="2023-02-03T00:00:00"/>
        <d v="2023-02-04T00:00:00"/>
        <d v="2023-02-05T00:00:00"/>
        <d v="2023-02-06T00:00:00"/>
        <d v="2023-02-07T00:00:00"/>
        <d v="2023-02-08T00:00:00"/>
        <d v="2023-02-09T00:00:00"/>
        <d v="2023-02-10T00:00:00"/>
        <d v="2023-02-11T00:00:00"/>
        <d v="2023-02-12T00:00:00"/>
        <d v="2023-02-13T00:00:00"/>
        <d v="2023-02-14T00:00:00"/>
        <d v="2023-02-15T00:00:00"/>
        <d v="2023-02-16T00:00:00"/>
        <d v="2023-02-17T00:00:00"/>
        <d v="2023-02-18T00:00:00"/>
        <d v="2023-02-19T00:00:00"/>
        <d v="2023-02-20T00:00:00"/>
        <d v="2023-02-21T00:00:00"/>
        <d v="2023-02-22T00:00:00"/>
        <d v="2023-02-23T00:00:00"/>
        <d v="2023-02-24T00:00:00"/>
        <d v="2023-02-25T00:00:00"/>
        <d v="2023-02-26T00:00:00"/>
        <d v="2023-02-27T00:00:00"/>
        <d v="2023-02-28T00:00:00"/>
        <d v="2023-03-01T00:00:00"/>
        <d v="2023-03-02T00:00:00"/>
        <d v="2023-03-03T00:00:00"/>
        <d v="2023-03-04T00:00:00"/>
        <d v="2023-03-05T00:00:00"/>
        <d v="2023-03-06T00:00:00"/>
        <d v="2023-03-07T00:00:00"/>
        <d v="2023-03-08T00:00:00"/>
        <d v="2023-03-09T00:00:00"/>
        <d v="2023-03-10T00:00:00"/>
        <d v="2023-03-11T00:00:00"/>
        <d v="2023-03-12T00:00:00"/>
        <d v="2023-03-13T00:00:00"/>
        <d v="2023-03-14T00:00:00"/>
        <d v="2023-03-15T00:00:00"/>
        <d v="2023-03-16T00:00:00"/>
        <d v="2023-03-17T00:00:00"/>
        <d v="2023-03-18T00:00:00"/>
        <d v="2023-03-19T00:00:00"/>
        <d v="2023-03-20T00:00:00"/>
        <d v="2023-03-21T00:00:00"/>
        <d v="2023-03-22T00:00:00"/>
        <d v="2023-03-23T00:00:00"/>
        <d v="2023-03-24T00:00:00"/>
        <d v="2023-03-25T00:00:00"/>
        <d v="2023-03-26T00:00:00"/>
        <d v="2023-03-27T00:00:00"/>
        <d v="2023-03-28T00:00:00"/>
        <d v="2023-03-29T00:00:00"/>
        <d v="2023-03-30T00:00:00"/>
        <d v="2023-03-31T00:00:00"/>
        <d v="2023-04-01T00:00:00"/>
        <d v="2023-04-02T00:00:00"/>
        <d v="2023-04-03T00:00:00"/>
        <d v="2023-04-04T00:00:00"/>
        <d v="2023-04-05T00:00:00"/>
        <d v="2023-04-06T00:00:00"/>
        <d v="2023-04-07T00:00:00"/>
        <d v="2023-04-08T00:00:00"/>
        <d v="2023-04-09T00:00:00"/>
        <d v="2023-04-10T00:00:00"/>
        <d v="2023-04-11T00:00:00"/>
        <d v="2023-04-12T00:00:00"/>
        <d v="2023-04-13T00:00:00"/>
        <d v="2023-04-14T00:00:00"/>
        <d v="2023-04-15T00:00:00"/>
        <d v="2023-04-16T00:00:00"/>
        <d v="2023-04-17T00:00:00"/>
        <d v="2023-04-18T00:00:00"/>
        <d v="2023-04-19T00:00:00"/>
        <d v="2023-04-20T00:00:00"/>
        <d v="2023-04-21T00:00:00"/>
        <d v="2023-04-22T00:00:00"/>
        <d v="2023-04-23T00:00:00"/>
        <d v="2023-04-24T00:00:00"/>
        <d v="2023-04-25T00:00:00"/>
        <d v="2023-04-26T00:00:00"/>
        <d v="2023-04-27T00:00:00"/>
        <d v="2023-04-28T00:00:00"/>
        <d v="2023-04-29T00:00:00"/>
        <d v="2023-04-30T00:00:00"/>
        <d v="2023-05-01T00:00:00"/>
        <d v="2023-05-02T00:00:00"/>
        <d v="2023-05-03T00:00:00"/>
        <d v="2023-05-04T00:00:00"/>
        <d v="2023-05-05T00:00:00"/>
        <d v="2023-05-06T00:00:00"/>
        <d v="2023-05-07T00:00:00"/>
        <d v="2023-05-08T00:00:00"/>
        <d v="2023-05-09T00:00:00"/>
        <d v="2023-05-10T00:00:00"/>
        <d v="2023-05-11T00:00:00"/>
        <d v="2023-05-12T00:00:00"/>
        <d v="2023-05-13T00:00:00"/>
        <d v="2023-05-14T00:00:00"/>
        <d v="2023-05-15T00:00:00"/>
        <d v="2023-05-16T00:00:00"/>
        <d v="2023-05-17T00:00:00"/>
        <d v="2023-05-18T00:00:00"/>
        <d v="2023-05-19T00:00:00"/>
        <d v="2023-05-20T00:00:00"/>
        <d v="2023-05-21T00:00:00"/>
        <d v="2023-05-22T00:00:00"/>
        <d v="2023-05-23T00:00:00"/>
        <d v="2023-05-24T00:00:00"/>
        <d v="2023-05-25T00:00:00"/>
        <d v="2023-05-26T00:00:00"/>
        <d v="2023-05-27T00:00:00"/>
        <d v="2023-05-28T00:00:00"/>
        <d v="2023-05-29T00:00:00"/>
        <d v="2023-05-30T00:00:00"/>
        <d v="2023-05-31T00:00:00"/>
        <d v="2023-06-01T00:00:00"/>
        <d v="2023-06-02T00:00:00"/>
        <d v="2023-06-03T00:00:00"/>
        <d v="2023-06-04T00:00:00"/>
        <d v="2023-06-05T00:00:00"/>
        <d v="2023-06-06T00:00:00"/>
        <d v="2023-06-07T00:00:00"/>
        <d v="2023-06-08T00:00:00"/>
        <d v="2023-06-09T00:00:00"/>
        <d v="2023-06-10T00:00:00"/>
        <d v="2023-06-11T00:00:00"/>
        <d v="2023-06-12T00:00:00"/>
        <d v="2023-06-13T00:00:00"/>
        <d v="2023-06-14T00:00:00"/>
        <d v="2023-06-15T00:00:00"/>
        <d v="2023-06-16T00:00:00"/>
        <d v="2023-06-17T00:00:00"/>
        <d v="2023-06-18T00:00:00"/>
        <d v="2023-06-19T00:00:00"/>
        <d v="2023-06-20T00:00:00"/>
        <d v="2023-06-21T00:00:00"/>
        <d v="2023-06-22T00:00:00"/>
        <d v="2023-06-23T00:00:00"/>
        <d v="2023-06-24T00:00:00"/>
        <d v="2023-06-25T00:00:00"/>
        <d v="2023-06-26T00:00:00"/>
        <d v="2023-06-27T00:00:00"/>
        <d v="2023-06-28T00:00:00"/>
        <d v="2023-06-29T00:00:00"/>
        <d v="2023-06-30T00:00:00"/>
        <d v="2023-07-01T00:00:00"/>
        <d v="2023-07-02T00:00:00"/>
        <d v="2023-07-03T00:00:00"/>
        <d v="2023-07-04T00:00:00"/>
        <d v="2023-07-05T00:00:00"/>
        <d v="2023-07-06T00:00:00"/>
        <d v="2023-07-07T00:00:00"/>
        <d v="2023-07-08T00:00:00"/>
        <d v="2023-07-09T00:00:00"/>
        <d v="2023-07-10T00:00:00"/>
        <d v="2023-07-11T00:00:00"/>
        <d v="2023-07-12T00:00:00"/>
        <d v="2023-07-13T00:00:00"/>
        <d v="2023-07-14T00:00:00"/>
        <d v="2023-07-15T00:00:00"/>
        <d v="2023-07-16T00:00:00"/>
        <d v="2023-07-17T00:00:00"/>
        <d v="2023-07-18T00:00:00"/>
        <d v="2023-07-19T00:00:00"/>
        <d v="2023-07-20T00:00:00"/>
        <d v="2023-07-21T00:00:00"/>
        <d v="2023-07-22T00:00:00"/>
        <d v="2023-07-23T00:00:00"/>
        <d v="2023-07-24T00:00:00"/>
        <d v="2023-07-25T00:00:00"/>
        <d v="2023-07-26T00:00:00"/>
        <d v="2023-07-27T00:00:00"/>
        <d v="2023-07-28T00:00:00"/>
        <d v="2023-07-29T00:00:00"/>
        <d v="2023-07-30T00:00:00"/>
        <d v="2023-07-31T00:00:00"/>
        <d v="2023-08-01T00:00:00"/>
        <d v="2023-08-02T00:00:00"/>
        <d v="2023-08-03T00:00:00"/>
        <d v="2023-08-04T00:00:00"/>
        <d v="2023-08-05T00:00:00"/>
        <d v="2023-08-06T00:00:00"/>
        <d v="2023-08-07T00:00:00"/>
        <d v="2023-08-08T00:00:00"/>
        <d v="2023-08-09T00:00:00"/>
        <d v="2023-08-10T00:00:00"/>
        <d v="2023-08-11T00:00:00"/>
        <d v="2023-08-12T00:00:00"/>
        <d v="2023-08-13T00:00:00"/>
        <d v="2023-08-14T00:00:00"/>
        <d v="2023-08-15T00:00:00"/>
        <d v="2023-08-16T00:00:00"/>
        <d v="2023-08-17T00:00:00"/>
        <d v="2023-08-18T00:00:00"/>
        <d v="2023-08-19T00:00:00"/>
        <d v="2023-08-20T00:00:00"/>
        <d v="2023-08-21T00:00:00"/>
        <d v="2023-08-22T00:00:00"/>
        <d v="2023-08-23T00:00:00"/>
        <d v="2023-08-24T00:00:00"/>
        <d v="2023-08-25T00:00:00"/>
        <d v="2023-08-26T00:00:00"/>
        <d v="2023-08-27T00:00:00"/>
        <d v="2023-08-28T00:00:00"/>
        <d v="2023-08-29T00:00:00"/>
        <d v="2023-08-30T00:00:00"/>
        <d v="2023-08-31T00:00:00"/>
        <d v="2023-09-01T00:00:00"/>
        <d v="2023-09-02T00:00:00"/>
        <d v="2023-09-03T00:00:00"/>
        <d v="2023-09-04T00:00:00"/>
        <d v="2023-09-05T00:00:00"/>
        <d v="2023-09-06T00:00:00"/>
        <d v="2023-09-07T00:00:00"/>
        <d v="2023-09-08T00:00:00"/>
        <d v="2023-09-09T00:00:00"/>
        <d v="2023-09-10T00:00:00"/>
        <d v="2023-09-11T00:00:00"/>
        <d v="2023-09-12T00:00:00"/>
        <d v="2023-09-13T00:00:00"/>
        <d v="2023-09-14T00:00:00"/>
        <d v="2023-09-15T00:00:00"/>
        <d v="2023-09-16T00:00:00"/>
        <d v="2023-09-17T00:00:00"/>
        <d v="2023-09-18T00:00:00"/>
        <d v="2023-09-19T00:00:00"/>
        <d v="2023-09-20T00:00:00"/>
        <d v="2023-09-21T00:00:00"/>
        <d v="2023-09-22T00:00:00"/>
        <d v="2023-09-23T00:00:00"/>
        <d v="2023-09-24T00:00:00"/>
        <d v="2023-09-25T00:00:00"/>
        <d v="2023-09-26T00:00:00"/>
        <d v="2023-09-27T00:00:00"/>
        <d v="2023-09-28T00:00:00"/>
        <d v="2023-09-29T00:00:00"/>
        <d v="2023-09-30T00:00:00"/>
        <d v="2023-10-01T00:00:00"/>
        <d v="2023-10-02T00:00:00"/>
        <d v="2023-10-03T00:00:00"/>
        <d v="2023-10-04T00:00:00"/>
        <d v="2023-10-05T00:00:00"/>
        <d v="2023-10-06T00:00:00"/>
        <d v="2023-10-07T00:00:00"/>
        <d v="2023-10-08T00:00:00"/>
        <d v="2023-10-09T00:00:00"/>
        <d v="2023-10-10T00:00:00"/>
        <d v="2023-10-11T00:00:00"/>
        <d v="2023-10-12T00:00:00"/>
        <d v="2023-10-13T00:00:00"/>
        <d v="2023-10-14T00:00:00"/>
        <d v="2023-10-15T00:00:00"/>
        <d v="2023-10-16T00:00:00"/>
        <d v="2023-10-17T00:00:00"/>
        <d v="2023-10-18T00:00:00"/>
        <d v="2023-10-19T00:00:00"/>
        <d v="2023-10-20T00:00:00"/>
        <d v="2023-10-21T00:00:00"/>
        <d v="2023-10-22T00:00:00"/>
        <d v="2023-10-23T00:00:00"/>
        <d v="2023-10-24T00:00:00"/>
        <d v="2023-10-25T00:00:00"/>
        <d v="2023-10-26T00:00:00"/>
        <d v="2023-10-27T00:00:00"/>
        <d v="2023-10-28T00:00:00"/>
        <d v="2023-10-29T00:00:00"/>
        <d v="2023-10-30T00:00:00"/>
        <d v="2023-10-31T00:00:00"/>
        <d v="2023-11-01T00:00:00"/>
        <d v="2023-11-02T00:00:00"/>
        <d v="2023-11-03T00:00:00"/>
        <d v="2023-11-04T00:00:00"/>
        <d v="2023-11-05T00:00:00"/>
        <d v="2023-11-06T00:00:00"/>
        <d v="2023-11-07T00:00:00"/>
        <d v="2023-11-08T00:00:00"/>
        <d v="2023-11-09T00:00:00"/>
        <d v="2023-11-10T00:00:00"/>
        <d v="2023-11-11T00:00:00"/>
        <d v="2023-11-12T00:00:00"/>
        <d v="2023-11-13T00:00:00"/>
        <d v="2023-11-14T00:00:00"/>
        <d v="2023-11-15T00:00:00"/>
        <d v="2023-11-16T00:00:00"/>
        <d v="2023-11-17T00:00:00"/>
        <d v="2023-11-18T00:00:00"/>
        <d v="2023-11-19T00:00:00"/>
        <d v="2023-11-20T00:00:00"/>
        <d v="2023-11-21T00:00:00"/>
        <d v="2023-11-22T00:00:00"/>
        <d v="2023-11-23T00:00:00"/>
        <d v="2023-11-24T00:00:00"/>
        <d v="2023-11-25T00:00:00"/>
        <d v="2023-11-26T00:00:00"/>
        <d v="2023-11-27T00:00:00"/>
        <d v="2023-11-28T00:00:00"/>
        <d v="2023-11-29T00:00:00"/>
        <d v="2023-11-30T00:00:00"/>
        <d v="2023-12-01T00:00:00"/>
        <d v="2023-12-02T00:00:00"/>
        <d v="2023-12-03T00:00:00"/>
        <d v="2023-12-04T00:00:00"/>
        <d v="2023-12-05T00:00:00"/>
        <d v="2023-12-06T00:00:00"/>
        <d v="2023-12-07T00:00:00"/>
        <d v="2023-12-08T00:00:00"/>
        <d v="2023-12-09T00:00:00"/>
        <d v="2023-12-10T00:00:00"/>
        <d v="2023-12-11T00:00:00"/>
        <d v="2023-12-12T00:00:00"/>
        <d v="2023-12-13T00:00:00"/>
        <d v="2023-12-14T00:00:00"/>
        <d v="2023-12-15T00:00:00"/>
        <d v="2023-12-16T00:00:00"/>
        <d v="2023-12-17T00:00:00"/>
        <d v="2023-12-18T00:00:00"/>
        <d v="2023-12-19T00:00:00"/>
        <d v="2023-12-20T00:00:00"/>
        <d v="2023-12-21T00:00:00"/>
        <d v="2023-12-22T00:00:00"/>
        <d v="2023-12-23T00:00:00"/>
        <d v="2023-12-24T00:00:00"/>
        <d v="2023-12-25T00:00:00"/>
        <d v="2023-12-26T00:00:00"/>
        <d v="2023-12-27T00:00:00"/>
        <d v="2023-12-28T00:00:00"/>
        <d v="2023-12-29T00:00:00"/>
        <d v="2023-12-30T00:00:00"/>
        <d v="2023-12-31T00:00:00"/>
        <d v="2024-01-01T00:00:00"/>
        <d v="2024-01-02T00:00:00"/>
        <d v="2024-01-03T00:00:00"/>
        <d v="2024-01-04T00:00:00"/>
        <d v="2024-01-05T00:00:00"/>
        <d v="2024-01-06T00:00:00"/>
        <d v="2024-01-07T00:00:00"/>
        <d v="2024-01-08T00:00:00"/>
        <d v="2024-01-09T00:00:00"/>
        <d v="2024-01-10T00:00:00"/>
        <d v="2024-01-11T00:00:00"/>
        <d v="2024-01-12T00:00:00"/>
        <d v="2024-01-13T00:00:00"/>
        <d v="2024-01-14T00:00:00"/>
        <d v="2024-01-15T00:00:00"/>
        <d v="2024-01-16T00:00:00"/>
        <d v="2024-01-17T00:00:00"/>
        <d v="2024-01-18T00:00:00"/>
        <d v="2024-01-19T00:00:00"/>
        <d v="2024-01-20T00:00:00"/>
        <d v="2024-01-21T00:00:00"/>
        <d v="2024-01-22T00:00:00"/>
        <d v="2024-01-23T00:00:00"/>
        <d v="2024-01-24T00:00:00"/>
        <d v="2024-01-25T00:00:00"/>
        <d v="2024-01-26T00:00:00"/>
        <d v="2024-01-27T00:00:00"/>
        <d v="2024-01-28T00:00:00"/>
        <d v="2024-01-29T00:00:00"/>
        <d v="2024-01-30T00:00:00"/>
        <d v="2024-01-31T00:00:00"/>
        <d v="2024-02-01T00:00:00"/>
        <d v="2024-02-02T00:00:00"/>
        <d v="2024-02-03T00:00:00"/>
        <d v="2024-02-04T00:00:00"/>
        <d v="2024-02-05T00:00:00"/>
        <d v="2024-02-06T00:00:00"/>
        <d v="2024-02-07T00:00:00"/>
        <d v="2024-02-08T00:00:00"/>
        <d v="2024-02-09T00:00:00"/>
        <d v="2024-02-10T00:00:00"/>
        <d v="2024-02-11T00:00:00"/>
        <d v="2024-02-12T00:00:00"/>
        <d v="2024-02-13T00:00:00"/>
        <d v="2024-02-14T00:00:00"/>
        <d v="2024-02-15T00:00:00"/>
        <d v="2024-02-16T00:00:00"/>
        <d v="2024-02-17T00:00:00"/>
        <d v="2024-02-18T00:00:00"/>
        <d v="2024-02-19T00:00:00"/>
        <d v="2024-02-20T00:00:00"/>
        <d v="2024-02-21T00:00:00"/>
        <d v="2024-02-22T00:00:00"/>
        <d v="2024-02-23T00:00:00"/>
        <d v="2024-02-24T00:00:00"/>
        <d v="2024-02-25T00:00:00"/>
        <d v="2024-02-26T00:00:00"/>
        <d v="2024-02-27T00:00:00"/>
        <d v="2024-02-28T00:00:00"/>
        <d v="2024-02-29T00:00:00"/>
        <d v="2024-03-01T00:00:00"/>
        <d v="2024-03-02T00:00:00"/>
        <d v="2024-03-03T00:00:00"/>
        <d v="2024-03-04T00:00:00"/>
        <d v="2024-03-05T00:00:00"/>
        <d v="2024-03-06T00:00:00"/>
        <d v="2024-03-07T00:00:00"/>
        <d v="2024-03-08T00:00:00"/>
        <d v="2024-03-09T00:00:00"/>
        <d v="2024-03-10T00:00:00"/>
        <d v="2024-03-11T00:00:00"/>
        <d v="2024-03-12T00:00:00"/>
        <d v="2024-03-13T00:00:00"/>
        <d v="2024-03-14T00:00:00"/>
        <d v="2024-03-15T00:00:00"/>
        <d v="2024-03-16T00:00:00"/>
        <d v="2024-03-17T00:00:00"/>
        <d v="2024-03-18T00:00:00"/>
        <d v="2024-03-19T00:00:00"/>
        <d v="2024-03-20T00:00:00"/>
        <d v="2024-03-21T00:00:00"/>
        <d v="2024-03-22T00:00:00"/>
        <d v="2024-03-23T00:00:00"/>
        <d v="2024-03-24T00:00:00"/>
        <d v="2024-03-25T00:00:00"/>
        <d v="2024-03-26T00:00:00"/>
        <d v="2024-03-27T00:00:00"/>
        <d v="2024-03-28T00:00:00"/>
        <d v="2024-03-29T00:00:00"/>
        <d v="2024-03-30T00:00:00"/>
        <d v="2024-03-31T00:00:00"/>
        <d v="2024-04-01T00:00:00"/>
        <d v="2024-04-02T00:00:00"/>
        <d v="2024-04-03T00:00:00"/>
        <d v="2024-04-04T00:00:00"/>
        <d v="2024-04-05T00:00:00"/>
        <d v="2024-04-06T00:00:00"/>
        <d v="2024-04-07T00:00:00"/>
        <d v="2024-04-08T00:00:00"/>
        <d v="2024-04-09T00:00:00"/>
        <d v="2024-04-10T00:00:00"/>
        <d v="2024-04-11T00:00:00"/>
        <d v="2024-04-12T00:00:00"/>
        <d v="2024-04-13T00:00:00"/>
        <d v="2024-04-14T00:00:00"/>
        <d v="2024-04-15T00:00:00"/>
        <d v="2024-04-16T00:00:00"/>
        <d v="2024-04-17T00:00:00"/>
        <d v="2024-04-18T00:00:00"/>
        <d v="2024-04-19T00:00:00"/>
        <d v="2024-04-20T00:00:00"/>
        <d v="2024-04-21T00:00:00"/>
        <d v="2024-04-22T00:00:00"/>
        <d v="2024-04-23T00:00:00"/>
        <d v="2024-04-24T00:00:00"/>
        <d v="2024-04-25T00:00:00"/>
        <d v="2024-04-26T00:00:00"/>
        <d v="2024-04-27T00:00:00"/>
        <d v="2024-04-28T00:00:00"/>
        <d v="2024-04-29T00:00:00"/>
        <d v="2024-04-30T00:00:00"/>
        <d v="2024-05-01T00:00:00"/>
        <d v="2024-05-02T00:00:00"/>
        <d v="2024-05-03T00:00:00"/>
        <d v="2024-05-04T00:00:00"/>
        <d v="2024-05-05T00:00:00"/>
        <d v="2024-05-06T00:00:00"/>
        <d v="2024-05-07T00:00:00"/>
        <d v="2024-05-08T00:00:00"/>
        <d v="2024-05-09T00:00:00"/>
        <d v="2024-05-10T00:00:00"/>
        <d v="2024-05-11T00:00:00"/>
        <d v="2024-05-12T00:00:00"/>
        <d v="2024-05-13T00:00:00"/>
        <d v="2024-05-14T00:00:00"/>
        <d v="2024-05-15T00:00:00"/>
        <d v="2024-05-16T00:00:00"/>
        <d v="2024-05-17T00:00:00"/>
        <d v="2024-05-18T00:00:00"/>
        <d v="2024-05-19T00:00:00"/>
        <d v="2024-05-20T00:00:00"/>
        <d v="2024-05-21T00:00:00"/>
        <d v="2024-05-22T00:00:00"/>
        <d v="2024-05-23T00:00:00"/>
        <d v="2024-05-24T00:00:00"/>
        <d v="2024-05-25T00:00:00"/>
        <d v="2024-05-26T00:00:00"/>
        <d v="2024-05-27T00:00:00"/>
        <d v="2024-05-28T00:00:00"/>
        <d v="2024-05-29T00:00:00"/>
        <d v="2024-05-30T00:00:00"/>
        <d v="2024-05-31T00:00:00"/>
        <d v="2024-06-01T00:00:00"/>
        <d v="2024-06-02T00:00:00"/>
        <d v="2024-06-03T00:00:00"/>
        <d v="2024-06-04T00:00:00"/>
        <d v="2024-06-05T00:00:00"/>
        <d v="2024-06-06T00:00:00"/>
        <d v="2024-06-07T00:00:00"/>
        <d v="2024-06-08T00:00:00"/>
        <d v="2024-06-09T00:00:00"/>
        <d v="2024-06-10T00:00:00"/>
        <d v="2024-06-11T00:00:00"/>
        <d v="2024-06-12T00:00:00"/>
        <d v="2024-06-13T00:00:00"/>
        <d v="2024-06-14T00:00:00"/>
        <d v="2024-06-15T00:00:00"/>
        <d v="2024-06-16T00:00:00"/>
        <d v="2024-06-17T00:00:00"/>
        <d v="2024-06-18T00:00:00"/>
        <d v="2024-06-19T00:00:00"/>
        <d v="2024-06-20T00:00:00"/>
        <d v="2024-06-21T00:00:00"/>
        <d v="2024-06-22T00:00:00"/>
        <d v="2024-06-23T00:00:00"/>
        <d v="2024-06-24T00:00:00"/>
        <d v="2024-06-25T00:00:00"/>
        <d v="2024-06-26T00:00:00"/>
        <d v="2024-06-27T00:00:00"/>
        <d v="2024-06-28T00:00:00"/>
        <d v="2024-06-29T00:00:00"/>
        <d v="2024-06-30T00:00:00"/>
        <d v="2024-07-01T00:00:00"/>
        <d v="2024-07-02T00:00:00"/>
        <d v="2024-07-03T00:00:00"/>
        <d v="2024-07-04T00:00:00"/>
        <d v="2024-07-05T00:00:00"/>
        <d v="2024-07-06T00:00:00"/>
        <d v="2024-07-07T00:00:00"/>
        <d v="2024-07-08T00:00:00"/>
        <d v="2024-07-09T00:00:00"/>
        <d v="2024-07-10T00:00:00"/>
        <d v="2024-07-11T00:00:00"/>
        <d v="2024-07-12T00:00:00"/>
        <d v="2024-07-13T00:00:00"/>
        <d v="2024-07-14T00:00:00"/>
        <d v="2024-07-15T00:00:00"/>
        <d v="2024-07-16T00:00:00"/>
        <d v="2024-07-17T00:00:00"/>
        <d v="2024-07-18T00:00:00"/>
        <d v="2024-07-19T00:00:00"/>
        <d v="2024-07-20T00:00:00"/>
        <d v="2024-07-21T00:00:00"/>
        <d v="2024-07-22T00:00:00"/>
        <d v="2024-07-23T00:00:00"/>
        <d v="2024-07-24T00:00:00"/>
        <d v="2024-07-25T00:00:00"/>
        <d v="2024-07-26T00:00:00"/>
        <d v="2024-07-27T00:00:00"/>
        <d v="2024-07-28T00:00:00"/>
        <d v="2024-07-29T00:00:00"/>
        <d v="2024-07-30T00:00:00"/>
        <d v="2024-07-31T00:00:00"/>
        <d v="2024-08-01T00:00:00"/>
        <d v="2024-08-02T00:00:00"/>
        <d v="2024-08-03T00:00:00"/>
        <d v="2024-08-04T00:00:00"/>
        <d v="2024-08-05T00:00:00"/>
        <d v="2024-08-06T00:00:00"/>
        <d v="2024-08-07T00:00:00"/>
        <d v="2024-08-08T00:00:00"/>
        <d v="2024-08-09T00:00:00"/>
        <d v="2024-08-10T00:00:00"/>
        <d v="2024-08-11T00:00:00"/>
        <d v="2024-08-12T00:00:00"/>
        <d v="2024-08-13T00:00:00"/>
        <d v="2024-08-14T00:00:00"/>
        <d v="2024-08-15T00:00:00"/>
        <d v="2024-08-16T00:00:00"/>
        <d v="2024-08-17T00:00:00"/>
        <d v="2024-08-18T00:00:00"/>
        <d v="2024-08-19T00:00:00"/>
        <d v="2024-08-20T00:00:00"/>
        <d v="2024-08-21T00:00:00"/>
        <d v="2024-08-22T00:00:00"/>
        <d v="2024-08-23T00:00:00"/>
        <d v="2024-08-24T00:00:00"/>
        <d v="2024-08-25T00:00:00"/>
        <d v="2024-08-26T00:00:00"/>
        <d v="2024-08-27T00:00:00"/>
        <d v="2024-08-28T00:00:00"/>
        <d v="2024-08-29T00:00:00"/>
        <d v="2024-08-30T00:00:00"/>
        <d v="2024-08-31T00:00:00"/>
        <d v="2024-09-01T00:00:00"/>
        <d v="2024-09-02T00:00:00"/>
        <d v="2024-09-03T00:00:00"/>
        <d v="2024-09-04T00:00:00"/>
        <d v="2024-09-05T00:00:00"/>
        <d v="2024-09-06T00:00:00"/>
        <d v="2024-09-07T00:00:00"/>
        <d v="2024-09-08T00:00:00"/>
        <d v="2024-09-09T00:00:00"/>
        <d v="2024-09-10T00:00:00"/>
        <d v="2024-09-11T00:00:00"/>
        <d v="2024-09-12T00:00:00"/>
        <d v="2024-09-13T00:00:00"/>
        <d v="2024-09-14T00:00:00"/>
        <d v="2024-09-15T00:00:00"/>
        <d v="2024-09-16T00:00:00"/>
        <d v="2024-09-17T00:00:00"/>
        <d v="2024-09-18T00:00:00"/>
        <d v="2024-09-19T00:00:00"/>
        <d v="2024-09-20T00:00:00"/>
        <d v="2024-09-21T00:00:00"/>
        <d v="2024-09-22T00:00:00"/>
        <d v="2024-09-23T00:00:00"/>
        <d v="2024-09-24T00:00:00"/>
        <d v="2024-09-25T00:00:00"/>
        <d v="2024-09-26T00:00:00"/>
        <d v="2024-09-27T00:00:00"/>
        <d v="2024-09-28T00:00:00"/>
        <d v="2024-09-29T00:00:00"/>
        <d v="2024-09-30T00:00:00"/>
        <d v="2024-10-01T00:00:00"/>
        <d v="2024-10-02T00:00:00"/>
        <d v="2024-10-03T00:00:00"/>
        <d v="2024-10-04T00:00:00"/>
        <d v="2024-10-05T00:00:00"/>
        <d v="2024-10-06T00:00:00"/>
        <d v="2024-10-07T00:00:00"/>
        <d v="2024-10-08T00:00:00"/>
        <d v="2024-10-09T00:00:00"/>
        <d v="2024-10-10T00:00:00"/>
        <d v="2024-10-11T00:00:00"/>
        <d v="2024-10-12T00:00:00"/>
        <d v="2024-10-13T00:00:00"/>
        <d v="2024-10-14T00:00:00"/>
        <d v="2024-10-15T00:00:00"/>
        <d v="2024-10-16T00:00:00"/>
        <d v="2024-10-17T00:00:00"/>
        <d v="2024-10-18T00:00:00"/>
        <d v="2024-10-19T00:00:00"/>
        <d v="2024-10-20T00:00:00"/>
        <d v="2024-10-21T00:00:00"/>
        <d v="2024-10-22T00:00:00"/>
        <d v="2024-10-23T00:00:00"/>
        <d v="2024-10-24T00:00:00"/>
        <d v="2024-10-25T00:00:00"/>
        <d v="2024-10-26T00:00:00"/>
        <d v="2024-10-27T00:00:00"/>
        <d v="2024-10-28T00:00:00"/>
        <d v="2024-10-29T00:00:00"/>
        <d v="2024-10-30T00:00:00"/>
        <d v="2024-10-31T00:00:00"/>
        <d v="2024-11-01T00:00:00"/>
        <d v="2024-11-02T00:00:00"/>
        <d v="2024-11-03T00:00:00"/>
        <d v="2024-11-04T00:00:00"/>
        <d v="2024-11-05T00:00:00"/>
        <d v="2024-11-06T00:00:00"/>
        <d v="2024-11-07T00:00:00"/>
        <d v="2024-11-08T00:00:00"/>
        <d v="2024-11-09T00:00:00"/>
        <d v="2024-11-10T00:00:00"/>
        <d v="2024-11-11T00:00:00"/>
        <d v="2024-11-12T00:00:00"/>
        <d v="2024-11-13T00:00:00"/>
        <d v="2024-11-14T00:00:00"/>
        <d v="2024-11-15T00:00:00"/>
        <d v="2024-11-16T00:00:00"/>
        <d v="2024-11-17T00:00:00"/>
        <d v="2024-11-18T00:00:00"/>
        <d v="2024-11-19T00:00:00"/>
        <d v="2024-11-20T00:00:00"/>
        <d v="2024-11-21T00:00:00"/>
        <d v="2024-11-22T00:00:00"/>
        <d v="2024-11-23T00:00:00"/>
        <d v="2024-11-24T00:00:00"/>
        <d v="2024-11-25T00:00:00"/>
        <d v="2024-11-26T00:00:00"/>
        <d v="2024-11-27T00:00:00"/>
        <d v="2024-11-28T00:00:00"/>
        <d v="2024-11-29T00:00:00"/>
        <d v="2024-11-30T00:00:00"/>
        <d v="2024-12-01T00:00:00"/>
        <d v="2024-12-02T00:00:00"/>
        <d v="2024-12-03T00:00:00"/>
        <d v="2024-12-04T00:00:00"/>
        <d v="2024-12-05T00:00:00"/>
        <d v="2024-12-06T00:00:00"/>
        <d v="2024-12-07T00:00:00"/>
        <d v="2024-12-08T00:00:00"/>
        <d v="2024-12-09T00:00:00"/>
        <d v="2024-12-10T00:00:00"/>
        <d v="2024-12-11T00:00:00"/>
        <d v="2024-12-12T00:00:00"/>
        <d v="2024-12-13T00:00:00"/>
        <d v="2024-12-14T00:00:00"/>
        <d v="2024-12-15T00:00:00"/>
        <d v="2024-12-16T00:00:00"/>
        <d v="2024-12-17T00:00:00"/>
        <d v="2024-12-18T00:00:00"/>
        <d v="2024-12-19T00:00:00"/>
        <d v="2024-12-20T00:00:00"/>
        <d v="2024-12-21T00:00:00"/>
        <d v="2024-12-22T00:00:00"/>
        <d v="2024-12-23T00:00:00"/>
        <d v="2024-12-24T00:00:00"/>
        <d v="2024-12-25T00:00:00"/>
        <d v="2024-12-26T00:00:00"/>
        <d v="2024-12-27T00:00:00"/>
        <d v="2024-12-28T00:00:00"/>
        <d v="2024-12-29T00:00:00"/>
        <d v="2024-12-30T00:00:00"/>
        <d v="2024-12-31T00:00:00"/>
      </sharedItems>
    </cacheField>
    <cacheField name="[Calendar_Table].[Date (Month)].[Date (Month)]" caption="Date (Month)" numFmtId="0" hierarchy="1" level="1">
      <sharedItems count="12">
        <s v="Jan"/>
        <s v="Feb"/>
        <s v="Mar"/>
        <s v="Apr"/>
        <s v="May"/>
        <s v="Jun"/>
        <s v="Jul"/>
        <s v="Aug"/>
        <s v="Sep"/>
        <s v="Oct"/>
        <s v="Nov"/>
        <s v="Dec"/>
      </sharedItems>
    </cacheField>
    <cacheField name="[Calendar_Table].[Date (Quarter)].[Date (Quarter)]" caption="Date (Quarter)" numFmtId="0" hierarchy="4" level="1">
      <sharedItems count="4">
        <s v="Qtr1"/>
        <s v="Qtr2"/>
        <s v="Qtr3"/>
        <s v="Qtr4"/>
      </sharedItems>
    </cacheField>
    <cacheField name="[Calendar_Table].[Date (Year)].[Date (Year)]" caption="Date (Year)" numFmtId="0" hierarchy="3" level="1">
      <sharedItems count="1">
        <s v="2024"/>
      </sharedItems>
    </cacheField>
  </cacheFields>
  <cacheHierarchies count="34">
    <cacheHierarchy uniqueName="[Calendar_Table].[Date]" caption="Date" attribute="1" time="1" defaultMemberUniqueName="[Calendar_Table].[Date].[All]" allUniqueName="[Calendar_Table].[Date].[All]" dimensionUniqueName="[Calendar_Table]" displayFolder="" count="2" memberValueDatatype="7" unbalanced="0">
      <fieldsUsage count="2">
        <fieldUsage x="-1"/>
        <fieldUsage x="0"/>
      </fieldsUsage>
    </cacheHierarchy>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1"/>
      </fieldsUsage>
    </cacheHierarchy>
    <cacheHierarchy uniqueName="[Calendar_Table].[Date (Day)]" caption="Date (Day)" attribute="1" defaultMemberUniqueName="[Calendar_Table].[Date (Day)].[All]" allUniqueName="[Calendar_Table].[Date (Day)].[All]" dimensionUniqueName="[Calendar_Table]" displayFolder="" count="2"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2" memberValueDatatype="130" unbalanced="0">
      <fieldsUsage count="2">
        <fieldUsage x="-1"/>
        <fieldUsage x="2"/>
      </fieldsUsage>
    </cacheHierarchy>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2"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2"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2"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2"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2"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2"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2"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2"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2"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2"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2"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2" memberValueDatatype="130" unbalanced="0"/>
    <cacheHierarchy uniqueName="[Hospital Emergency Room Data].[Patient Attendence Status]" caption="Patient Attendence Status" attribute="1" defaultMemberUniqueName="[Hospital Emergency Room Data].[Patient Attendence Status].[All]" allUniqueName="[Hospital Emergency Room Data].[Patient Attendence Status].[All]" dimensionUniqueName="[Hospital Emergency Room Data]" displayFolder="" count="2" memberValueDatatype="130" unbalanced="0"/>
    <cacheHierarchy uniqueName="[Calendar_Table].[Date (Day Index)]" caption="Date (Day Index)" attribute="1" defaultMemberUniqueName="[Calendar_Table].[Date (Day Index)].[All]" allUniqueName="[Calendar_Table].[Date (Day Index)].[All]" dimensionUniqueName="[Calendar_Table]" displayFolder="" count="2"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2"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ttendence Status]" caption="Count of Patient Attendence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Distinct Count of Patient Admission Flag]" caption="Distinct 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nshu" refreshedDate="46054.795643171296" backgroundQuery="1" createdVersion="3" refreshedVersion="8" minRefreshableVersion="3" recordCount="0" supportSubquery="1" supportAdvancedDrill="1" xr:uid="{104A3B4D-5A86-44E6-B96D-FC8CA59C571C}">
  <cacheSource type="external" connectionId="3">
    <extLst>
      <ext xmlns:x14="http://schemas.microsoft.com/office/spreadsheetml/2009/9/main" uri="{F057638F-6D5F-4e77-A914-E7F072B9BCA8}">
        <x14:sourceConnection name="ThisWorkbookDataModel"/>
      </ext>
    </extLst>
  </cacheSource>
  <cacheFields count="0"/>
  <cacheHierarchies count="34">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ence Status]" caption="Patient Attendence Status" attribute="1" defaultMemberUniqueName="[Hospital Emergency Room Data].[Patient Attendence Status].[All]" allUniqueName="[Hospital Emergency Room Data].[Patient Attendence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ttendence Status]" caption="Count of Patient Attendence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Distinct Count of Patient Admission Flag]" caption="Distinct 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extLst>
    <ext xmlns:x14="http://schemas.microsoft.com/office/spreadsheetml/2009/9/main" uri="{725AE2AE-9491-48be-B2B4-4EB974FC3084}">
      <x14:pivotCacheDefinition slicerData="1" pivotCacheId="1982302116"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DA6C13D-D96A-4EA4-B679-715BFC8D7F3A}" name="PivotTable10" cacheId="330" applyNumberFormats="0" applyBorderFormats="0" applyFontFormats="0" applyPatternFormats="0" applyAlignmentFormats="0" applyWidthHeightFormats="1" dataCaption="Values" tag="83cb1ea1-417e-4be2-85e3-4033864b1e36" updatedVersion="8" minRefreshableVersion="3" itemPrintTitles="1" createdVersion="8" indent="0" outline="1" outlineData="1" multipleFieldFilters="0" chartFormat="23">
  <location ref="A77:B80" firstHeaderRow="1" firstDataRow="1" firstDataCol="1"/>
  <pivotFields count="4">
    <pivotField allDrilled="1" subtotalTop="0" showAll="0" dataSourceSort="1" defaultSubtotal="0" defaultAttributeDrillState="1"/>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1"/>
  </rowFields>
  <rowItems count="3">
    <i>
      <x/>
    </i>
    <i>
      <x v="1"/>
    </i>
    <i t="grand">
      <x/>
    </i>
  </rowItems>
  <colItems count="1">
    <i/>
  </colItems>
  <dataFields count="1">
    <dataField name="Count of Patient Gender" fld="2" subtotal="count" baseField="0" baseItem="0"/>
  </dataFields>
  <chartFormats count="3">
    <chartFormat chart="22" format="4" series="1">
      <pivotArea type="data" outline="0" fieldPosition="0">
        <references count="1">
          <reference field="4294967294" count="1" selected="0">
            <x v="0"/>
          </reference>
        </references>
      </pivotArea>
    </chartFormat>
    <chartFormat chart="22" format="5">
      <pivotArea type="data" outline="0" fieldPosition="0">
        <references count="2">
          <reference field="4294967294" count="1" selected="0">
            <x v="0"/>
          </reference>
          <reference field="1" count="1" selected="0">
            <x v="0"/>
          </reference>
        </references>
      </pivotArea>
    </chartFormat>
    <chartFormat chart="22" format="6">
      <pivotArea type="data" outline="0" fieldPosition="0">
        <references count="2">
          <reference field="4294967294" count="1" selected="0">
            <x v="0"/>
          </reference>
          <reference field="1" count="1" selected="0">
            <x v="1"/>
          </reference>
        </references>
      </pivotArea>
    </chartFormat>
  </chartFormats>
  <pivotHierarchies count="34">
    <pivotHierarchy dragToData="1"/>
    <pivotHierarchy multipleItemSelectionAllowed="1" dragToData="1">
      <members count="1" level="1">
        <member name="[Calendar_Table].[Date (Month)].&amp;[Feb]"/>
      </members>
    </pivotHierarchy>
    <pivotHierarchy dragToData="1"/>
    <pivotHierarchy multipleItemSelectionAllowed="1" dragToData="1">
      <members count="1" level="1">
        <member name="[Calenda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DC59D7C-5255-4905-98AE-29FEC0A8E155}" name="PivotTable6" cacheId="318" applyNumberFormats="0" applyBorderFormats="0" applyFontFormats="0" applyPatternFormats="0" applyAlignmentFormats="0" applyWidthHeightFormats="1" dataCaption="Values" tag="eb362232-b4da-451b-b59d-39da1c4f19bc" updatedVersion="8" minRefreshableVersion="3" subtotalHiddenItems="1" itemPrintTitles="1" createdVersion="8" indent="0" outline="1" outlineData="1" multipleFieldFilters="0" chartFormat="38">
  <location ref="K3:L32" firstHeaderRow="1" firstDataRow="1" firstDataCol="1"/>
  <pivotFields count="4">
    <pivotField axis="axisRow" allDrilled="1" subtotalTop="0" showAll="0" dataSourceSort="1" defaultSubtotal="0" defaultAttributeDrillState="1">
      <items count="28">
        <item x="0"/>
        <item x="1"/>
        <item x="2"/>
        <item x="3"/>
        <item x="4"/>
        <item x="5"/>
        <item x="6"/>
        <item x="7"/>
        <item x="8"/>
        <item x="9"/>
        <item x="10"/>
        <item x="11"/>
        <item x="12"/>
        <item x="13"/>
        <item x="14"/>
        <item x="15"/>
        <item x="16"/>
        <item x="17"/>
        <item x="18"/>
        <item x="19"/>
        <item x="20"/>
        <item x="21"/>
        <item x="22"/>
        <item x="23"/>
        <item x="24"/>
        <item x="25"/>
        <item x="26"/>
        <item x="27"/>
      </items>
    </pivotField>
    <pivotField allDrilled="1" subtotalTop="0" showAll="0" dataSourceSort="1" defaultSubtotal="0" defaultAttributeDrillState="1"/>
    <pivotField dataField="1" subtotalTop="0" showAll="0" defaultSubtotal="0"/>
    <pivotField allDrilled="1" subtotalTop="0" showAll="0" dataSourceSort="1" defaultSubtotal="0" defaultAttributeDrillState="1"/>
  </pivotFields>
  <rowFields count="1">
    <field x="0"/>
  </rowFields>
  <rowItems count="29">
    <i>
      <x/>
    </i>
    <i>
      <x v="1"/>
    </i>
    <i>
      <x v="2"/>
    </i>
    <i>
      <x v="3"/>
    </i>
    <i>
      <x v="4"/>
    </i>
    <i>
      <x v="5"/>
    </i>
    <i>
      <x v="6"/>
    </i>
    <i>
      <x v="7"/>
    </i>
    <i>
      <x v="8"/>
    </i>
    <i>
      <x v="9"/>
    </i>
    <i>
      <x v="10"/>
    </i>
    <i>
      <x v="11"/>
    </i>
    <i>
      <x v="12"/>
    </i>
    <i>
      <x v="13"/>
    </i>
    <i>
      <x v="14"/>
    </i>
    <i>
      <x v="15"/>
    </i>
    <i>
      <x v="16"/>
    </i>
    <i>
      <x v="17"/>
    </i>
    <i>
      <x v="18"/>
    </i>
    <i>
      <x v="19"/>
    </i>
    <i>
      <x v="20"/>
    </i>
    <i>
      <x v="21"/>
    </i>
    <i>
      <x v="22"/>
    </i>
    <i>
      <x v="23"/>
    </i>
    <i>
      <x v="24"/>
    </i>
    <i>
      <x v="25"/>
    </i>
    <i>
      <x v="26"/>
    </i>
    <i>
      <x v="27"/>
    </i>
    <i t="grand">
      <x/>
    </i>
  </rowItems>
  <colItems count="1">
    <i/>
  </colItems>
  <dataFields count="1">
    <dataField name="Average of Patient Satisfaction Score" fld="2" subtotal="average" baseField="0" baseItem="1"/>
  </dataFields>
  <formats count="2">
    <format dxfId="73">
      <pivotArea collapsedLevelsAreSubtotals="1" fieldPosition="0">
        <references count="1">
          <reference field="0" count="0"/>
        </references>
      </pivotArea>
    </format>
    <format dxfId="72">
      <pivotArea grandRow="1" outline="0" collapsedLevelsAreSubtotals="1" fieldPosition="0"/>
    </format>
  </formats>
  <chartFormats count="3">
    <chartFormat chart="27" format="0" series="1">
      <pivotArea type="data" outline="0" fieldPosition="0">
        <references count="1">
          <reference field="4294967294" count="1" selected="0">
            <x v="0"/>
          </reference>
        </references>
      </pivotArea>
    </chartFormat>
    <chartFormat chart="30" format="2" series="1">
      <pivotArea type="data" outline="0" fieldPosition="0">
        <references count="1">
          <reference field="4294967294" count="1" selected="0">
            <x v="0"/>
          </reference>
        </references>
      </pivotArea>
    </chartFormat>
    <chartFormat chart="32" format="4" series="1">
      <pivotArea type="data" outline="0" fieldPosition="0">
        <references count="1">
          <reference field="4294967294" count="1" selected="0">
            <x v="0"/>
          </reference>
        </references>
      </pivotArea>
    </chartFormat>
  </chartFormats>
  <pivotHierarchies count="34">
    <pivotHierarchy dragToData="1"/>
    <pivotHierarchy multipleItemSelectionAllowed="1" dragToData="1">
      <members count="1" level="1">
        <member name="[Calendar_Table].[Date (Month)].&amp;[Feb]"/>
      </members>
    </pivotHierarchy>
    <pivotHierarchy dragToData="1"/>
    <pivotHierarchy multipleItemSelectionAllowed="1" dragToData="1">
      <members count="1" level="1">
        <member name="[Calenda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3882718-1AA9-48C7-8214-212CDFB999DE}" name="PivotTable5" cacheId="315" applyNumberFormats="0" applyBorderFormats="0" applyFontFormats="0" applyPatternFormats="0" applyAlignmentFormats="0" applyWidthHeightFormats="1" dataCaption="Values" tag="a751fba9-f5f4-49be-94d3-18ed8f581805" updatedVersion="8" minRefreshableVersion="3" subtotalHiddenItems="1" itemPrintTitles="1" createdVersion="8" indent="0" outline="1" outlineData="1" multipleFieldFilters="0" chartFormat="27">
  <location ref="H3:I33" firstHeaderRow="1" firstDataRow="1" firstDataCol="1"/>
  <pivotFields count="4">
    <pivotField axis="axisRow" allDrilled="1" subtotalTop="0" showAll="0" dataSourceSort="1" defaultSubtotal="0" defaultAttributeDrillState="1">
      <items count="29">
        <item x="0"/>
        <item x="1"/>
        <item x="2"/>
        <item x="3"/>
        <item x="4"/>
        <item x="5"/>
        <item x="6"/>
        <item x="7"/>
        <item x="8"/>
        <item x="9"/>
        <item x="10"/>
        <item x="11"/>
        <item x="12"/>
        <item x="13"/>
        <item x="14"/>
        <item x="15"/>
        <item x="16"/>
        <item x="17"/>
        <item x="18"/>
        <item x="19"/>
        <item x="20"/>
        <item x="21"/>
        <item x="22"/>
        <item x="23"/>
        <item x="24"/>
        <item x="25"/>
        <item x="26"/>
        <item x="27"/>
        <item x="28"/>
      </items>
    </pivotField>
    <pivotField allDrilled="1" subtotalTop="0" showAll="0" dataSourceSort="1" defaultSubtotal="0" defaultAttributeDrillState="1"/>
    <pivotField dataField="1" subtotalTop="0" showAll="0" defaultSubtotal="0"/>
    <pivotField allDrilled="1" subtotalTop="0" showAll="0" dataSourceSort="1" defaultSubtotal="0" defaultAttributeDrillState="1"/>
  </pivotFields>
  <rowFields count="1">
    <field x="0"/>
  </rowFields>
  <rowItems count="3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t="grand">
      <x/>
    </i>
  </rowItems>
  <colItems count="1">
    <i/>
  </colItems>
  <dataFields count="1">
    <dataField name="Average of Patient Waittime" fld="2" subtotal="average" baseField="0" baseItem="0"/>
  </dataFields>
  <formats count="2">
    <format dxfId="75">
      <pivotArea collapsedLevelsAreSubtotals="1" fieldPosition="0">
        <references count="1">
          <reference field="0" count="0"/>
        </references>
      </pivotArea>
    </format>
    <format dxfId="74">
      <pivotArea grandRow="1" outline="0" collapsedLevelsAreSubtotals="1" fieldPosition="0"/>
    </format>
  </formats>
  <chartFormats count="2">
    <chartFormat chart="13" format="2" series="1">
      <pivotArea type="data" outline="0" fieldPosition="0">
        <references count="1">
          <reference field="4294967294" count="1" selected="0">
            <x v="0"/>
          </reference>
        </references>
      </pivotArea>
    </chartFormat>
    <chartFormat chart="15" format="4" series="1">
      <pivotArea type="data" outline="0" fieldPosition="0">
        <references count="1">
          <reference field="4294967294" count="1" selected="0">
            <x v="0"/>
          </reference>
        </references>
      </pivotArea>
    </chartFormat>
  </chartFormats>
  <pivotHierarchies count="34">
    <pivotHierarchy dragToData="1"/>
    <pivotHierarchy multipleItemSelectionAllowed="1" dragToData="1">
      <members count="1" level="1">
        <member name="[Calendar_Table].[Date (Month)].&amp;[Feb]"/>
      </members>
    </pivotHierarchy>
    <pivotHierarchy dragToData="1"/>
    <pivotHierarchy multipleItemSelectionAllowed="1" dragToData="1">
      <members count="1" level="1">
        <member name="[Calenda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Average of Patient Waittime"/>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1103863-D288-468D-9E54-AAC7130B2CD5}" name="PivotTable9" cacheId="327" applyNumberFormats="0" applyBorderFormats="0" applyFontFormats="0" applyPatternFormats="0" applyAlignmentFormats="0" applyWidthHeightFormats="1" dataCaption="Values" tag="6dcdcc39-f2c6-48bc-8ea0-60523581e242" updatedVersion="8" minRefreshableVersion="3" itemPrintTitles="1" createdVersion="8" indent="0" outline="1" outlineData="1" multipleFieldFilters="0" chartFormat="14">
  <location ref="A69:B72" firstHeaderRow="1" firstDataRow="1" firstDataCol="1"/>
  <pivotFields count="4">
    <pivotField allDrilled="1" subtotalTop="0" showAll="0" dataSourceSort="1" defaultSubtotal="0" defaultAttributeDrillState="1"/>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1"/>
  </rowFields>
  <rowItems count="3">
    <i>
      <x/>
    </i>
    <i>
      <x v="1"/>
    </i>
    <i t="grand">
      <x/>
    </i>
  </rowItems>
  <colItems count="1">
    <i/>
  </colItems>
  <dataFields count="1">
    <dataField name="Count of Patient Attendence Status" fld="2" subtotal="count" baseField="0" baseItem="0"/>
  </dataFields>
  <chartFormats count="3">
    <chartFormat chart="11" format="4" series="1">
      <pivotArea type="data" outline="0" fieldPosition="0">
        <references count="1">
          <reference field="4294967294" count="1" selected="0">
            <x v="0"/>
          </reference>
        </references>
      </pivotArea>
    </chartFormat>
    <chartFormat chart="11" format="5">
      <pivotArea type="data" outline="0" fieldPosition="0">
        <references count="2">
          <reference field="4294967294" count="1" selected="0">
            <x v="0"/>
          </reference>
          <reference field="1" count="1" selected="0">
            <x v="0"/>
          </reference>
        </references>
      </pivotArea>
    </chartFormat>
    <chartFormat chart="11" format="6">
      <pivotArea type="data" outline="0" fieldPosition="0">
        <references count="2">
          <reference field="4294967294" count="1" selected="0">
            <x v="0"/>
          </reference>
          <reference field="1" count="1" selected="0">
            <x v="1"/>
          </reference>
        </references>
      </pivotArea>
    </chartFormat>
  </chartFormats>
  <pivotHierarchies count="34">
    <pivotHierarchy dragToData="1"/>
    <pivotHierarchy multipleItemSelectionAllowed="1" dragToData="1">
      <members count="1" level="1">
        <member name="[Calendar_Table].[Date (Month)].&amp;[Feb]"/>
      </members>
    </pivotHierarchy>
    <pivotHierarchy dragToData="1"/>
    <pivotHierarchy multipleItemSelectionAllowed="1" dragToData="1">
      <members count="1" level="1">
        <member name="[Calenda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40B038D-37DC-4B57-A4FB-11FEBFFB552D}" name="PivotTable4" cacheId="303" applyNumberFormats="0" applyBorderFormats="0" applyFontFormats="0" applyPatternFormats="0" applyAlignmentFormats="0" applyWidthHeightFormats="1" dataCaption="Values" tag="25695809-1b84-46cd-944b-b0eb6bd5ba04" updatedVersion="8" minRefreshableVersion="3" subtotalHiddenItems="1" itemPrintTitles="1" createdVersion="8" indent="0" outline="1" outlineData="1" multipleFieldFilters="0" chartFormat="18">
  <location ref="D3:E33" firstHeaderRow="1" firstDataRow="1" firstDataCol="1"/>
  <pivotFields count="4">
    <pivotField dataField="1" subtotalTop="0" showAll="0" defaultSubtotal="0"/>
    <pivotField axis="axisRow" allDrilled="1" subtotalTop="0" showAll="0" dataSourceSort="1" defaultSubtotal="0" defaultAttributeDrillState="1">
      <items count="29">
        <item x="0"/>
        <item x="1"/>
        <item x="2"/>
        <item x="3"/>
        <item x="4"/>
        <item x="5"/>
        <item x="6"/>
        <item x="7"/>
        <item x="8"/>
        <item x="9"/>
        <item x="10"/>
        <item x="11"/>
        <item x="12"/>
        <item x="13"/>
        <item x="14"/>
        <item x="15"/>
        <item x="16"/>
        <item x="17"/>
        <item x="18"/>
        <item x="19"/>
        <item x="20"/>
        <item x="21"/>
        <item x="22"/>
        <item x="23"/>
        <item x="24"/>
        <item x="25"/>
        <item x="26"/>
        <item x="27"/>
        <item x="28"/>
      </items>
    </pivotField>
    <pivotField allDrilled="1" subtotalTop="0" showAll="0" dataSourceSort="1" defaultSubtotal="0" defaultAttributeDrillState="1"/>
    <pivotField allDrilled="1" subtotalTop="0" showAll="0" dataSourceSort="1" defaultSubtotal="0" defaultAttributeDrillState="1"/>
  </pivotFields>
  <rowFields count="1">
    <field x="1"/>
  </rowFields>
  <rowItems count="3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t="grand">
      <x/>
    </i>
  </rowItems>
  <colItems count="1">
    <i/>
  </colItems>
  <dataFields count="1">
    <dataField name="Count of Patient Id" fld="0" subtotal="count" baseField="0" baseItem="0"/>
  </dataFields>
  <chartFormats count="2">
    <chartFormat chart="3" format="2" series="1">
      <pivotArea type="data" outline="0" fieldPosition="0">
        <references count="1">
          <reference field="4294967294" count="1" selected="0">
            <x v="0"/>
          </reference>
        </references>
      </pivotArea>
    </chartFormat>
    <chartFormat chart="5" format="4" series="1">
      <pivotArea type="data" outline="0" fieldPosition="0">
        <references count="1">
          <reference field="4294967294" count="1" selected="0">
            <x v="0"/>
          </reference>
        </references>
      </pivotArea>
    </chartFormat>
  </chartFormats>
  <pivotHierarchies count="34">
    <pivotHierarchy dragToData="1"/>
    <pivotHierarchy multipleItemSelectionAllowed="1" dragToData="1">
      <members count="1" level="1">
        <member name="[Calendar_Table].[Date (Month)].&amp;[Feb]"/>
      </members>
    </pivotHierarchy>
    <pivotHierarchy dragToData="1"/>
    <pivotHierarchy multipleItemSelectionAllowed="1" dragToData="1">
      <members count="1" level="1">
        <member name="[Calenda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8856AC14-8169-4BAE-AB8C-7EF9EE3E4BBF}" name="PivotTable8" cacheId="324" applyNumberFormats="0" applyBorderFormats="0" applyFontFormats="0" applyPatternFormats="0" applyAlignmentFormats="0" applyWidthHeightFormats="1" dataCaption="Values" tag="2ef4bd2b-9f94-4bea-b12b-42242e97a1b4" updatedVersion="8" minRefreshableVersion="3" itemPrintTitles="1" createdVersion="8" indent="0" outline="1" outlineData="1" multipleFieldFilters="0" chartFormat="8">
  <location ref="A54:B63" firstHeaderRow="1" firstDataRow="1" firstDataCol="1"/>
  <pivotFields count="4">
    <pivotField axis="axisRow" allDrilled="1" subtotalTop="0" showAll="0" dataSourceSort="1" defaultSubtotal="0" defaultAttributeDrillState="1">
      <items count="8">
        <item x="0"/>
        <item x="1"/>
        <item x="2"/>
        <item x="3"/>
        <item x="4"/>
        <item x="5"/>
        <item x="6"/>
        <item x="7"/>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9">
    <i>
      <x/>
    </i>
    <i>
      <x v="1"/>
    </i>
    <i>
      <x v="2"/>
    </i>
    <i>
      <x v="3"/>
    </i>
    <i>
      <x v="4"/>
    </i>
    <i>
      <x v="5"/>
    </i>
    <i>
      <x v="6"/>
    </i>
    <i>
      <x v="7"/>
    </i>
    <i t="grand">
      <x/>
    </i>
  </rowItems>
  <colItems count="1">
    <i/>
  </colItems>
  <dataFields count="1">
    <dataField name="Count of Age Group" fld="1" subtotal="count" baseField="0" baseItem="0"/>
  </dataFields>
  <chartFormats count="1">
    <chartFormat chart="6" format="2" series="1">
      <pivotArea type="data" outline="0" fieldPosition="0">
        <references count="1">
          <reference field="4294967294" count="1" selected="0">
            <x v="0"/>
          </reference>
        </references>
      </pivotArea>
    </chartFormat>
  </chartFormats>
  <pivotHierarchies count="34">
    <pivotHierarchy dragToData="1"/>
    <pivotHierarchy multipleItemSelectionAllowed="1" dragToData="1">
      <members count="1" level="1">
        <member name="[Calendar_Table].[Date (Month)].&amp;[Feb]"/>
      </members>
    </pivotHierarchy>
    <pivotHierarchy dragToData="1"/>
    <pivotHierarchy multipleItemSelectionAllowed="1" dragToData="1">
      <members count="1" level="1">
        <member name="[Calenda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74BEFCED-2C1E-4197-AD0C-B99106EBDED2}" name="PivotTable3" cacheId="312" applyNumberFormats="0" applyBorderFormats="0" applyFontFormats="0" applyPatternFormats="0" applyAlignmentFormats="0" applyWidthHeightFormats="1" dataCaption="Values" tag="6407c699-5365-4f06-8ae6-96db9aed3bf3" updatedVersion="8" minRefreshableVersion="3" subtotalHiddenItems="1" itemPrintTitles="1" createdVersion="8" indent="0" outline="1" outlineData="1" multipleFieldFilters="0">
  <location ref="A11:A12"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Average of Patient Satisfaction Score" fld="0" subtotal="average" baseField="0" baseItem="0"/>
  </dataFields>
  <formats count="1">
    <format dxfId="76">
      <pivotArea outline="0" collapsedLevelsAreSubtotals="1" fieldPosition="0"/>
    </format>
  </formats>
  <pivotHierarchies count="34">
    <pivotHierarchy dragToData="1"/>
    <pivotHierarchy multipleItemSelectionAllowed="1" dragToData="1">
      <members count="1" level="1">
        <member name="[Calendar_Table].[Date (Month)].&amp;[Feb]"/>
      </members>
    </pivotHierarchy>
    <pivotHierarchy dragToData="1"/>
    <pivotHierarchy multipleItemSelectionAllowed="1" dragToData="1">
      <members count="1" level="1">
        <member name="[Calenda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66DD4DF0-CBBB-4E67-AA9D-FB4A3B8C3695}" name="PivotTable7" cacheId="321" applyNumberFormats="0" applyBorderFormats="0" applyFontFormats="0" applyPatternFormats="0" applyAlignmentFormats="0" applyWidthHeightFormats="1" dataCaption="Values" tag="2f6c9237-60b3-48d8-8c7d-4e171bad0b48" updatedVersion="8" minRefreshableVersion="3" subtotalHiddenItems="1" itemPrintTitles="1" createdVersion="8" indent="0" outline="1" outlineData="1" multipleFieldFilters="0" chartFormat="4">
  <location ref="A40:C43" firstHeaderRow="0" firstDataRow="1" firstDataCol="1"/>
  <pivotFields count="5">
    <pivotField allDrilled="1" subtotalTop="0" showAll="0" dataSourceSort="1" defaultSubtotal="0" defaultAttributeDrillState="1"/>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1">
    <field x="1"/>
  </rowFields>
  <rowItems count="3">
    <i>
      <x/>
    </i>
    <i>
      <x v="1"/>
    </i>
    <i t="grand">
      <x/>
    </i>
  </rowItems>
  <colFields count="1">
    <field x="-2"/>
  </colFields>
  <colItems count="2">
    <i>
      <x/>
    </i>
    <i i="1">
      <x v="1"/>
    </i>
  </colItems>
  <dataFields count="2">
    <dataField name="Count of Patient Admission Flag" fld="2" subtotal="count" baseField="0" baseItem="0"/>
    <dataField name="Patient Admission Flag in %" fld="4" subtotal="count" showDataAs="percentOfTotal" baseField="1" baseItem="0" numFmtId="10">
      <extLst>
        <ext xmlns:x14="http://schemas.microsoft.com/office/spreadsheetml/2009/9/main" uri="{E15A36E0-9728-4e99-A89B-3F7291B0FE68}">
          <x14:dataField sourceField="2" uniqueName="[__Xl2].[Measures].[Count of Patient Admission Flag]"/>
        </ext>
      </extLst>
    </dataField>
  </dataFields>
  <formats count="2">
    <format dxfId="78">
      <pivotArea outline="0" collapsedLevelsAreSubtotals="1" fieldPosition="0"/>
    </format>
    <format dxfId="77">
      <pivotArea outline="0" fieldPosition="0">
        <references count="1">
          <reference field="4294967294" count="1">
            <x v="1"/>
          </reference>
        </references>
      </pivotArea>
    </format>
  </format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pivotArea type="data" outline="0" fieldPosition="0">
        <references count="2">
          <reference field="4294967294" count="1" selected="0">
            <x v="0"/>
          </reference>
          <reference field="1" count="1" selected="0">
            <x v="0"/>
          </reference>
        </references>
      </pivotArea>
    </chartFormat>
    <chartFormat chart="0" format="3">
      <pivotArea type="data" outline="0" fieldPosition="0">
        <references count="2">
          <reference field="4294967294" count="1" selected="0">
            <x v="0"/>
          </reference>
          <reference field="1" count="1" selected="0">
            <x v="1"/>
          </reference>
        </references>
      </pivotArea>
    </chartFormat>
  </chartFormats>
  <pivotHierarchies count="35">
    <pivotHierarchy dragToData="1"/>
    <pivotHierarchy multipleItemSelectionAllowed="1" dragToData="1">
      <members count="1" level="1">
        <member name="[Calendar_Table].[Date (Month)].&amp;[Feb]"/>
      </members>
    </pivotHierarchy>
    <pivotHierarchy dragToData="1"/>
    <pivotHierarchy multipleItemSelectionAllowed="1" dragToData="1">
      <members count="1" level="1">
        <member name="[Calenda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Average of Patient Waittime"/>
    <pivotHierarchy dragToData="1"/>
    <pivotHierarchy dragToData="1" caption="Average of Patient Satisfaction Score"/>
    <pivotHierarchy dragToData="1"/>
    <pivotHierarchy dragToData="1" caption="Patient Admission Flag in %"/>
    <pivotHierarchy dragToData="1"/>
    <pivotHierarchy dragToData="1"/>
    <pivotHierarchy dragToData="1"/>
    <pivotHierarchy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rowHierarchiesUsage count="1">
    <rowHierarchyUsage hierarchyUsage="1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793A5363-0E82-42BE-9CEA-91196A6C2562}" name="PivotTable12" cacheId="336" applyNumberFormats="0" applyBorderFormats="0" applyFontFormats="0" applyPatternFormats="0" applyAlignmentFormats="0" applyWidthHeightFormats="1" dataCaption="Values" tag="0263204b-c860-4986-8802-2fc6096fb990" updatedVersion="8" minRefreshableVersion="3" useAutoFormatting="1" itemPrintTitles="1" createdVersion="8" indent="0" outline="1" outlineData="1" multipleFieldFilters="0">
  <location ref="A99:A101" firstHeaderRow="1" firstDataRow="1" firstDataCol="1"/>
  <pivotFields count="4">
    <pivotField axis="axisRow" allDrilled="1" subtotalTop="0" showAll="0" dataSourceSort="1" defaultSubtotal="0" defaultAttributeDrillState="1">
      <items count="73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s>
    </pivotField>
    <pivotField axis="axisRow" allDrilled="1" subtotalTop="0" showAll="0" dataSourceSort="1" defaultSubtotal="0">
      <items count="12">
        <item x="0" e="0"/>
        <item s="1" x="1" e="0"/>
        <item x="2" e="0"/>
        <item x="3" e="0"/>
        <item x="4" e="0"/>
        <item x="5" e="0"/>
        <item x="6" e="0"/>
        <item x="7" e="0"/>
        <item x="8" e="0"/>
        <item x="9" e="0"/>
        <item x="10" e="0"/>
        <item x="11" e="0"/>
      </items>
    </pivotField>
    <pivotField axis="axisRow" allDrilled="1" subtotalTop="0" showAll="0" dataSourceSort="1" defaultSubtotal="0">
      <items count="4">
        <item x="0" e="0"/>
        <item x="1" e="0"/>
        <item x="2" e="0"/>
        <item x="3" e="0"/>
      </items>
    </pivotField>
    <pivotField axis="axisRow" allDrilled="1" subtotalTop="0" showAll="0" dataSourceSort="1" defaultSubtotal="0">
      <items count="1">
        <item s="1" x="0" e="0"/>
      </items>
    </pivotField>
  </pivotFields>
  <rowFields count="4">
    <field x="3"/>
    <field x="2"/>
    <field x="1"/>
    <field x="0"/>
  </rowFields>
  <rowItems count="2">
    <i>
      <x/>
    </i>
    <i t="grand">
      <x/>
    </i>
  </rowItems>
  <pivotHierarchies count="34">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4">
    <rowHierarchyUsage hierarchyUsage="3"/>
    <rowHierarchyUsage hierarchyUsage="4"/>
    <rowHierarchyUsage hierarchyUsage="1"/>
    <rowHierarchyUsage hierarchyUsage="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F8850C94-40AD-4127-ABC5-69DB1527B438}" name="PivotTable11" cacheId="333" applyNumberFormats="0" applyBorderFormats="0" applyFontFormats="0" applyPatternFormats="0" applyAlignmentFormats="0" applyWidthHeightFormats="1" dataCaption="Values" tag="7f3f4256-4749-4c2a-a7f8-9d835ba795c5" updatedVersion="8" minRefreshableVersion="3" itemPrintTitles="1" createdVersion="8" indent="0" outline="1" outlineData="1" multipleFieldFilters="0" chartFormat="29">
  <location ref="A86:B95" firstHeaderRow="1" firstDataRow="1" firstDataCol="1"/>
  <pivotFields count="4">
    <pivotField allDrilled="1" subtotalTop="0" showAll="0" dataSourceSort="1" defaultSubtotal="0" defaultAttributeDrillState="1"/>
    <pivotField axis="axisRow" allDrilled="1" subtotalTop="0" showAll="0" sortType="ascending" defaultSubtotal="0" defaultAttributeDrillState="1">
      <items count="8">
        <item x="0"/>
        <item x="1"/>
        <item x="2"/>
        <item x="3"/>
        <item x="4"/>
        <item x="5"/>
        <item x="6"/>
        <item x="7"/>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1"/>
  </rowFields>
  <rowItems count="9">
    <i>
      <x v="3"/>
    </i>
    <i>
      <x v="1"/>
    </i>
    <i>
      <x v="7"/>
    </i>
    <i>
      <x/>
    </i>
    <i>
      <x v="6"/>
    </i>
    <i>
      <x v="5"/>
    </i>
    <i>
      <x v="2"/>
    </i>
    <i>
      <x v="4"/>
    </i>
    <i t="grand">
      <x/>
    </i>
  </rowItems>
  <colItems count="1">
    <i/>
  </colItems>
  <dataFields count="1">
    <dataField name="Count of Department Referral" fld="2" subtotal="count" baseField="0" baseItem="0"/>
  </dataFields>
  <chartFormats count="1">
    <chartFormat chart="28" format="2" series="1">
      <pivotArea type="data" outline="0" fieldPosition="0">
        <references count="1">
          <reference field="4294967294" count="1" selected="0">
            <x v="0"/>
          </reference>
        </references>
      </pivotArea>
    </chartFormat>
  </chartFormats>
  <pivotHierarchies count="34">
    <pivotHierarchy dragToData="1"/>
    <pivotHierarchy multipleItemSelectionAllowed="1" dragToData="1">
      <members count="1" level="1">
        <member name="[Calendar_Table].[Date (Month)].&amp;[Feb]"/>
      </members>
    </pivotHierarchy>
    <pivotHierarchy dragToData="1"/>
    <pivotHierarchy multipleItemSelectionAllowed="1" dragToData="1">
      <members count="1" level="1">
        <member name="[Calenda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69E6F38F-F429-463B-8801-6DC57B56FE1D}" name="PivotTable2" cacheId="309" applyNumberFormats="0" applyBorderFormats="0" applyFontFormats="0" applyPatternFormats="0" applyAlignmentFormats="0" applyWidthHeightFormats="1" dataCaption="Values" tag="e1fb5356-0335-4768-b16f-4175e7e36e3d" updatedVersion="8" minRefreshableVersion="3" subtotalHiddenItems="1" itemPrintTitles="1" createdVersion="8" indent="0" outline="1" outlineData="1" multipleFieldFilters="0">
  <location ref="A7:A8"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Average of Patient Waittime" fld="0" subtotal="average" baseField="0" baseItem="0" numFmtId="2"/>
  </dataFields>
  <formats count="1">
    <format dxfId="79">
      <pivotArea outline="0" collapsedLevelsAreSubtotals="1" fieldPosition="0"/>
    </format>
  </formats>
  <pivotHierarchies count="34">
    <pivotHierarchy dragToData="1"/>
    <pivotHierarchy multipleItemSelectionAllowed="1" dragToData="1">
      <members count="1" level="1">
        <member name="[Calendar_Table].[Date (Month)].&amp;[Feb]"/>
      </members>
    </pivotHierarchy>
    <pivotHierarchy dragToData="1"/>
    <pivotHierarchy multipleItemSelectionAllowed="1" dragToData="1">
      <members count="1" level="1">
        <member name="[Calenda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Average of Patient Waittime"/>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BDAB7ACE-8EA9-4E6B-ADAC-E3CF1409511E}" name="PivotTable1" cacheId="306" applyNumberFormats="0" applyBorderFormats="0" applyFontFormats="0" applyPatternFormats="0" applyAlignmentFormats="0" applyWidthHeightFormats="1" dataCaption="Values" tag="a6fd7f22-bf31-4934-b5e0-2724b8dcdb07" updatedVersion="8" minRefreshableVersion="3" subtotalHiddenItems="1" itemPrintTitles="1" createdVersion="8" indent="0" outline="1" outlineData="1" multipleFieldFilters="0">
  <location ref="A3:A4"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Count of Patient Id" fld="0" subtotal="count" baseField="0" baseItem="0"/>
  </dataFields>
  <pivotHierarchies count="34">
    <pivotHierarchy dragToData="1"/>
    <pivotHierarchy multipleItemSelectionAllowed="1" dragToData="1">
      <members count="1" level="1">
        <member name="[Calendar_Table].[Date (Month)].&amp;[Feb]"/>
      </members>
    </pivotHierarchy>
    <pivotHierarchy dragToData="1"/>
    <pivotHierarchy multipleItemSelectionAllowed="1" dragToData="1">
      <members count="1" level="1">
        <member name="[Calenda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Month" xr10:uid="{21E1B702-4C90-4745-AA9B-2F8F3F428BAF}" sourceName="[Calendar_Table].[Date (Month)]">
  <pivotTables>
    <pivotTable tabId="1" name="PivotTable4"/>
    <pivotTable tabId="1" name="PivotTable1"/>
    <pivotTable tabId="1" name="PivotTable2"/>
    <pivotTable tabId="1" name="PivotTable3"/>
    <pivotTable tabId="1" name="PivotTable5"/>
    <pivotTable tabId="1" name="PivotTable6"/>
    <pivotTable tabId="1" name="PivotTable7"/>
    <pivotTable tabId="1" name="PivotTable8"/>
    <pivotTable tabId="1" name="PivotTable9"/>
    <pivotTable tabId="1" name="PivotTable10"/>
    <pivotTable tabId="1" name="PivotTable11"/>
    <pivotTable tabId="1" name="PivotTable12"/>
  </pivotTables>
  <data>
    <olap pivotCacheId="1982302116">
      <levels count="2">
        <level uniqueName="[Calendar_Table].[Date (Month)].[(All)]" sourceCaption="(All)" count="0"/>
        <level uniqueName="[Calendar_Table].[Date (Month)].[Date (Month)]" sourceCaption="Date (Month)" count="12">
          <ranges>
            <range startItem="0">
              <i n="[Calendar_Table].[Date (Month)].&amp;[Jan]" c="Jan"/>
              <i n="[Calendar_Table].[Date (Month)].&amp;[Feb]" c="Feb"/>
              <i n="[Calendar_Table].[Date (Month)].&amp;[Mar]" c="Mar"/>
              <i n="[Calendar_Table].[Date (Month)].&amp;[Apr]" c="Apr"/>
              <i n="[Calendar_Table].[Date (Month)].&amp;[May]" c="May"/>
              <i n="[Calendar_Table].[Date (Month)].&amp;[Jun]" c="Jun"/>
              <i n="[Calendar_Table].[Date (Month)].&amp;[Jul]" c="Jul"/>
              <i n="[Calendar_Table].[Date (Month)].&amp;[Aug]" c="Aug"/>
              <i n="[Calendar_Table].[Date (Month)].&amp;[Sep]" c="Sep"/>
              <i n="[Calendar_Table].[Date (Month)].&amp;[Oct]" c="Oct"/>
              <i n="[Calendar_Table].[Date (Month)].&amp;[Nov]" c="Nov"/>
              <i n="[Calendar_Table].[Date (Month)].&amp;[Dec]" c="Dec"/>
            </range>
          </ranges>
        </level>
      </levels>
      <selections count="1">
        <selection n="[Calendar_Table].[Date (Month)].&amp;[Feb]"/>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Year" xr10:uid="{E873970C-70A4-4505-A60E-424A92B99FA9}" sourceName="[Calendar_Table].[Date (Year)]">
  <pivotTables>
    <pivotTable tabId="1" name="PivotTable12"/>
    <pivotTable tabId="1" name="PivotTable1"/>
    <pivotTable tabId="1" name="PivotTable10"/>
    <pivotTable tabId="1" name="PivotTable11"/>
    <pivotTable tabId="1" name="PivotTable2"/>
    <pivotTable tabId="1" name="PivotTable3"/>
    <pivotTable tabId="1" name="PivotTable4"/>
    <pivotTable tabId="1" name="PivotTable5"/>
    <pivotTable tabId="1" name="PivotTable6"/>
    <pivotTable tabId="1" name="PivotTable7"/>
    <pivotTable tabId="1" name="PivotTable8"/>
    <pivotTable tabId="1" name="PivotTable9"/>
  </pivotTables>
  <data>
    <olap pivotCacheId="1982302116">
      <levels count="2">
        <level uniqueName="[Calendar_Table].[Date (Year)].[(All)]" sourceCaption="(All)" count="0"/>
        <level uniqueName="[Calendar_Table].[Date (Year)].[Date (Year)]" sourceCaption="Date (Year)" count="2">
          <ranges>
            <range startItem="0">
              <i n="[Calendar_Table].[Date (Year)].&amp;[2023]" c="2023"/>
              <i n="[Calendar_Table].[Date (Year)].&amp;[2024]" c="2024"/>
            </range>
          </ranges>
        </level>
      </levels>
      <selections count="1">
        <selection n="[Calendar_Table].[Date (Year)].&amp;[2024]"/>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te (Month)" xr10:uid="{E248727B-C66E-4F8F-AD54-A70D9B390D28}" cache="Slicer_Date__Month" caption="Date (Month)" columnCount="12" showCaption="0" level="1" style="SlicerStyleDark2 2" rowHeight="360000"/>
  <slicer name="Date (Year)" xr10:uid="{9530FD26-C249-42BE-BBA4-7D45C343BAA7}" cache="Slicer_Date__Year" caption="Date (Year)" columnCount="2" showCaption="0" level="1" style="SlicerStyleDark2 2" rowHeight="2880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vmlDrawing" Target="../drawings/vmlDrawing1.v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CCFF19-0B75-4117-B3DC-179E9DEFF11B}">
  <dimension ref="A3:L101"/>
  <sheetViews>
    <sheetView topLeftCell="A40" workbookViewId="0">
      <selection activeCell="A47" sqref="A47:D49"/>
    </sheetView>
  </sheetViews>
  <sheetFormatPr defaultRowHeight="14.4" x14ac:dyDescent="0.3"/>
  <cols>
    <col min="1" max="1" width="12.5546875" bestFit="1" customWidth="1"/>
    <col min="2" max="2" width="17.88671875" bestFit="1" customWidth="1"/>
    <col min="3" max="3" width="18.5546875" customWidth="1"/>
    <col min="4" max="4" width="32.109375" customWidth="1"/>
    <col min="8" max="8" width="12.5546875" bestFit="1" customWidth="1"/>
    <col min="9" max="9" width="17" bestFit="1" customWidth="1"/>
    <col min="11" max="11" width="12.5546875" bestFit="1" customWidth="1"/>
    <col min="12" max="12" width="25" bestFit="1" customWidth="1"/>
  </cols>
  <sheetData>
    <row r="3" spans="1:12" x14ac:dyDescent="0.3">
      <c r="A3" t="s">
        <v>0</v>
      </c>
      <c r="D3" s="1" t="s">
        <v>4</v>
      </c>
      <c r="E3" t="s">
        <v>0</v>
      </c>
      <c r="H3" s="1" t="s">
        <v>4</v>
      </c>
      <c r="I3" t="s">
        <v>1</v>
      </c>
      <c r="K3" s="1" t="s">
        <v>4</v>
      </c>
      <c r="L3" t="s">
        <v>2</v>
      </c>
    </row>
    <row r="4" spans="1:12" x14ac:dyDescent="0.3">
      <c r="A4" s="9">
        <v>431</v>
      </c>
      <c r="D4" s="4" t="s">
        <v>41</v>
      </c>
      <c r="E4" s="9">
        <v>13</v>
      </c>
      <c r="H4" s="4" t="s">
        <v>41</v>
      </c>
      <c r="I4" s="2">
        <v>35.692307692307693</v>
      </c>
      <c r="K4" s="4" t="s">
        <v>41</v>
      </c>
      <c r="L4" s="2">
        <v>4.166666666666667</v>
      </c>
    </row>
    <row r="5" spans="1:12" x14ac:dyDescent="0.3">
      <c r="D5" s="4" t="s">
        <v>42</v>
      </c>
      <c r="E5" s="9">
        <v>10</v>
      </c>
      <c r="H5" s="4" t="s">
        <v>42</v>
      </c>
      <c r="I5" s="2">
        <v>45.4</v>
      </c>
      <c r="K5" s="4" t="s">
        <v>42</v>
      </c>
      <c r="L5" s="2">
        <v>5.75</v>
      </c>
    </row>
    <row r="6" spans="1:12" x14ac:dyDescent="0.3">
      <c r="D6" s="4" t="s">
        <v>43</v>
      </c>
      <c r="E6" s="9">
        <v>8</v>
      </c>
      <c r="H6" s="4" t="s">
        <v>43</v>
      </c>
      <c r="I6" s="2">
        <v>29.375</v>
      </c>
      <c r="K6" s="4" t="s">
        <v>43</v>
      </c>
      <c r="L6" s="2">
        <v>4.75</v>
      </c>
    </row>
    <row r="7" spans="1:12" x14ac:dyDescent="0.3">
      <c r="A7" t="s">
        <v>1</v>
      </c>
      <c r="D7" s="4" t="s">
        <v>44</v>
      </c>
      <c r="E7" s="9">
        <v>12</v>
      </c>
      <c r="H7" s="4" t="s">
        <v>44</v>
      </c>
      <c r="I7" s="2">
        <v>34.583333333333336</v>
      </c>
      <c r="K7" s="4" t="s">
        <v>44</v>
      </c>
      <c r="L7" s="2">
        <v>7</v>
      </c>
    </row>
    <row r="8" spans="1:12" x14ac:dyDescent="0.3">
      <c r="A8" s="2">
        <v>36.670533642691417</v>
      </c>
      <c r="D8" s="4" t="s">
        <v>45</v>
      </c>
      <c r="E8" s="9">
        <v>19</v>
      </c>
      <c r="H8" s="4" t="s">
        <v>45</v>
      </c>
      <c r="I8" s="2">
        <v>38.684210526315788</v>
      </c>
      <c r="K8" s="4" t="s">
        <v>45</v>
      </c>
      <c r="L8" s="2">
        <v>3.1428571428571428</v>
      </c>
    </row>
    <row r="9" spans="1:12" x14ac:dyDescent="0.3">
      <c r="D9" s="4" t="s">
        <v>46</v>
      </c>
      <c r="E9" s="9">
        <v>9</v>
      </c>
      <c r="H9" s="4" t="s">
        <v>46</v>
      </c>
      <c r="I9" s="2">
        <v>34.777777777777779</v>
      </c>
      <c r="K9" s="4" t="s">
        <v>46</v>
      </c>
      <c r="L9" s="2">
        <v>8</v>
      </c>
    </row>
    <row r="10" spans="1:12" x14ac:dyDescent="0.3">
      <c r="D10" s="4" t="s">
        <v>47</v>
      </c>
      <c r="E10" s="9">
        <v>13</v>
      </c>
      <c r="H10" s="4" t="s">
        <v>47</v>
      </c>
      <c r="I10" s="2">
        <v>37.307692307692307</v>
      </c>
      <c r="K10" s="4" t="s">
        <v>47</v>
      </c>
      <c r="L10" s="2">
        <v>5.25</v>
      </c>
    </row>
    <row r="11" spans="1:12" x14ac:dyDescent="0.3">
      <c r="A11" t="s">
        <v>2</v>
      </c>
      <c r="D11" s="4" t="s">
        <v>48</v>
      </c>
      <c r="E11" s="9">
        <v>19</v>
      </c>
      <c r="H11" s="4" t="s">
        <v>48</v>
      </c>
      <c r="I11" s="2">
        <v>35.631578947368418</v>
      </c>
      <c r="K11" s="4" t="s">
        <v>48</v>
      </c>
      <c r="L11" s="2">
        <v>4.5714285714285712</v>
      </c>
    </row>
    <row r="12" spans="1:12" x14ac:dyDescent="0.3">
      <c r="A12" s="2">
        <v>4.7154471544715451</v>
      </c>
      <c r="D12" s="4" t="s">
        <v>49</v>
      </c>
      <c r="E12" s="9">
        <v>10</v>
      </c>
      <c r="H12" s="4" t="s">
        <v>49</v>
      </c>
      <c r="I12" s="2">
        <v>36.6</v>
      </c>
      <c r="K12" s="4" t="s">
        <v>49</v>
      </c>
      <c r="L12" s="2">
        <v>2.75</v>
      </c>
    </row>
    <row r="13" spans="1:12" x14ac:dyDescent="0.3">
      <c r="D13" s="4" t="s">
        <v>50</v>
      </c>
      <c r="E13" s="9">
        <v>20</v>
      </c>
      <c r="H13" s="4" t="s">
        <v>50</v>
      </c>
      <c r="I13" s="2">
        <v>39.700000000000003</v>
      </c>
      <c r="K13" s="4" t="s">
        <v>50</v>
      </c>
      <c r="L13" s="2">
        <v>4.5</v>
      </c>
    </row>
    <row r="14" spans="1:12" x14ac:dyDescent="0.3">
      <c r="D14" s="4" t="s">
        <v>51</v>
      </c>
      <c r="E14" s="9">
        <v>15</v>
      </c>
      <c r="H14" s="4" t="s">
        <v>51</v>
      </c>
      <c r="I14" s="2">
        <v>37.4</v>
      </c>
      <c r="K14" s="4" t="s">
        <v>51</v>
      </c>
      <c r="L14" s="2">
        <v>5.5</v>
      </c>
    </row>
    <row r="15" spans="1:12" x14ac:dyDescent="0.3">
      <c r="D15" s="4" t="s">
        <v>52</v>
      </c>
      <c r="E15" s="9">
        <v>13</v>
      </c>
      <c r="H15" s="4" t="s">
        <v>52</v>
      </c>
      <c r="I15" s="2">
        <v>27.76923076923077</v>
      </c>
      <c r="K15" s="4" t="s">
        <v>52</v>
      </c>
      <c r="L15" s="2">
        <v>5.6</v>
      </c>
    </row>
    <row r="16" spans="1:12" x14ac:dyDescent="0.3">
      <c r="D16" s="4" t="s">
        <v>53</v>
      </c>
      <c r="E16" s="9">
        <v>9</v>
      </c>
      <c r="H16" s="4" t="s">
        <v>53</v>
      </c>
      <c r="I16" s="2">
        <v>38.777777777777779</v>
      </c>
      <c r="K16" s="4" t="s">
        <v>53</v>
      </c>
      <c r="L16" s="2">
        <v>5.75</v>
      </c>
    </row>
    <row r="17" spans="4:12" x14ac:dyDescent="0.3">
      <c r="D17" s="4" t="s">
        <v>54</v>
      </c>
      <c r="E17" s="9">
        <v>19</v>
      </c>
      <c r="H17" s="4" t="s">
        <v>54</v>
      </c>
      <c r="I17" s="2">
        <v>31</v>
      </c>
      <c r="K17" s="4" t="s">
        <v>54</v>
      </c>
      <c r="L17" s="2">
        <v>3.4444444444444446</v>
      </c>
    </row>
    <row r="18" spans="4:12" x14ac:dyDescent="0.3">
      <c r="D18" s="4" t="s">
        <v>55</v>
      </c>
      <c r="E18" s="9">
        <v>14</v>
      </c>
      <c r="H18" s="4" t="s">
        <v>55</v>
      </c>
      <c r="I18" s="2">
        <v>35.928571428571431</v>
      </c>
      <c r="K18" s="4" t="s">
        <v>55</v>
      </c>
      <c r="L18" s="2">
        <v>1.5</v>
      </c>
    </row>
    <row r="19" spans="4:12" x14ac:dyDescent="0.3">
      <c r="D19" s="4" t="s">
        <v>56</v>
      </c>
      <c r="E19" s="9">
        <v>17</v>
      </c>
      <c r="H19" s="4" t="s">
        <v>56</v>
      </c>
      <c r="I19" s="2">
        <v>37.882352941176471</v>
      </c>
      <c r="K19" s="4" t="s">
        <v>56</v>
      </c>
      <c r="L19" s="2">
        <v>3.6666666666666665</v>
      </c>
    </row>
    <row r="20" spans="4:12" x14ac:dyDescent="0.3">
      <c r="D20" s="4" t="s">
        <v>57</v>
      </c>
      <c r="E20" s="9">
        <v>17</v>
      </c>
      <c r="H20" s="4" t="s">
        <v>57</v>
      </c>
      <c r="I20" s="2">
        <v>40.588235294117645</v>
      </c>
      <c r="K20" s="4" t="s">
        <v>57</v>
      </c>
      <c r="L20" s="2">
        <v>4.4285714285714288</v>
      </c>
    </row>
    <row r="21" spans="4:12" x14ac:dyDescent="0.3">
      <c r="D21" s="4" t="s">
        <v>58</v>
      </c>
      <c r="E21" s="9">
        <v>15</v>
      </c>
      <c r="H21" s="4" t="s">
        <v>58</v>
      </c>
      <c r="I21" s="2">
        <v>34.533333333333331</v>
      </c>
      <c r="K21" s="4" t="s">
        <v>58</v>
      </c>
      <c r="L21" s="2">
        <v>6</v>
      </c>
    </row>
    <row r="22" spans="4:12" x14ac:dyDescent="0.3">
      <c r="D22" s="4" t="s">
        <v>59</v>
      </c>
      <c r="E22" s="9">
        <v>9</v>
      </c>
      <c r="H22" s="4" t="s">
        <v>59</v>
      </c>
      <c r="I22" s="2">
        <v>40.333333333333336</v>
      </c>
      <c r="K22" s="4" t="s">
        <v>59</v>
      </c>
      <c r="L22" s="2">
        <v>2.6666666666666665</v>
      </c>
    </row>
    <row r="23" spans="4:12" x14ac:dyDescent="0.3">
      <c r="D23" s="4" t="s">
        <v>60</v>
      </c>
      <c r="E23" s="9">
        <v>14</v>
      </c>
      <c r="H23" s="4" t="s">
        <v>60</v>
      </c>
      <c r="I23" s="2">
        <v>35.285714285714285</v>
      </c>
      <c r="K23" s="4" t="s">
        <v>60</v>
      </c>
      <c r="L23" s="2">
        <v>7.5</v>
      </c>
    </row>
    <row r="24" spans="4:12" x14ac:dyDescent="0.3">
      <c r="D24" s="4" t="s">
        <v>61</v>
      </c>
      <c r="E24" s="9">
        <v>22</v>
      </c>
      <c r="H24" s="4" t="s">
        <v>61</v>
      </c>
      <c r="I24" s="2">
        <v>35.5</v>
      </c>
      <c r="K24" s="4" t="s">
        <v>61</v>
      </c>
      <c r="L24" s="2">
        <v>4.5</v>
      </c>
    </row>
    <row r="25" spans="4:12" x14ac:dyDescent="0.3">
      <c r="D25" s="4" t="s">
        <v>62</v>
      </c>
      <c r="E25" s="9">
        <v>16</v>
      </c>
      <c r="H25" s="4" t="s">
        <v>62</v>
      </c>
      <c r="I25" s="2">
        <v>38.5625</v>
      </c>
      <c r="K25" s="4" t="s">
        <v>62</v>
      </c>
      <c r="L25" s="2">
        <v>8</v>
      </c>
    </row>
    <row r="26" spans="4:12" x14ac:dyDescent="0.3">
      <c r="D26" s="4" t="s">
        <v>63</v>
      </c>
      <c r="E26" s="9">
        <v>22</v>
      </c>
      <c r="H26" s="4" t="s">
        <v>63</v>
      </c>
      <c r="I26" s="2">
        <v>42.727272727272727</v>
      </c>
      <c r="K26" s="4" t="s">
        <v>63</v>
      </c>
      <c r="L26" s="2">
        <v>4.3636363636363633</v>
      </c>
    </row>
    <row r="27" spans="4:12" x14ac:dyDescent="0.3">
      <c r="D27" s="4" t="s">
        <v>64</v>
      </c>
      <c r="E27" s="9">
        <v>12</v>
      </c>
      <c r="H27" s="4" t="s">
        <v>64</v>
      </c>
      <c r="I27" s="2">
        <v>37.416666666666664</v>
      </c>
      <c r="K27" s="4" t="s">
        <v>64</v>
      </c>
      <c r="L27" s="2">
        <v>0</v>
      </c>
    </row>
    <row r="28" spans="4:12" x14ac:dyDescent="0.3">
      <c r="D28" s="4" t="s">
        <v>65</v>
      </c>
      <c r="E28" s="9">
        <v>20</v>
      </c>
      <c r="H28" s="4" t="s">
        <v>65</v>
      </c>
      <c r="I28" s="2">
        <v>32.450000000000003</v>
      </c>
      <c r="K28" s="4" t="s">
        <v>65</v>
      </c>
      <c r="L28" s="2">
        <v>10</v>
      </c>
    </row>
    <row r="29" spans="4:12" x14ac:dyDescent="0.3">
      <c r="D29" s="4" t="s">
        <v>66</v>
      </c>
      <c r="E29" s="9">
        <v>18</v>
      </c>
      <c r="H29" s="4" t="s">
        <v>66</v>
      </c>
      <c r="I29" s="2">
        <v>40.055555555555557</v>
      </c>
      <c r="K29" s="4" t="s">
        <v>67</v>
      </c>
      <c r="L29" s="2">
        <v>6.75</v>
      </c>
    </row>
    <row r="30" spans="4:12" x14ac:dyDescent="0.3">
      <c r="D30" s="4" t="s">
        <v>67</v>
      </c>
      <c r="E30" s="9">
        <v>18</v>
      </c>
      <c r="H30" s="4" t="s">
        <v>67</v>
      </c>
      <c r="I30" s="2">
        <v>31.666666666666668</v>
      </c>
      <c r="K30" s="4" t="s">
        <v>68</v>
      </c>
      <c r="L30" s="2">
        <v>7</v>
      </c>
    </row>
    <row r="31" spans="4:12" x14ac:dyDescent="0.3">
      <c r="D31" s="4" t="s">
        <v>68</v>
      </c>
      <c r="E31" s="9">
        <v>13</v>
      </c>
      <c r="H31" s="4" t="s">
        <v>68</v>
      </c>
      <c r="I31" s="2">
        <v>39.769230769230766</v>
      </c>
      <c r="K31" s="4" t="s">
        <v>69</v>
      </c>
      <c r="L31" s="2">
        <v>3.3333333333333335</v>
      </c>
    </row>
    <row r="32" spans="4:12" x14ac:dyDescent="0.3">
      <c r="D32" s="4" t="s">
        <v>69</v>
      </c>
      <c r="E32" s="9">
        <v>15</v>
      </c>
      <c r="H32" s="4" t="s">
        <v>69</v>
      </c>
      <c r="I32" s="2">
        <v>36.733333333333334</v>
      </c>
      <c r="K32" s="4" t="s">
        <v>3</v>
      </c>
      <c r="L32" s="2">
        <v>4.7154471544715451</v>
      </c>
    </row>
    <row r="33" spans="1:9" x14ac:dyDescent="0.3">
      <c r="D33" s="4" t="s">
        <v>3</v>
      </c>
      <c r="E33" s="9">
        <v>431</v>
      </c>
      <c r="H33" s="4" t="s">
        <v>3</v>
      </c>
      <c r="I33" s="2">
        <v>36.670533642691417</v>
      </c>
    </row>
    <row r="40" spans="1:9" x14ac:dyDescent="0.3">
      <c r="A40" s="1" t="s">
        <v>4</v>
      </c>
      <c r="B40" t="s">
        <v>6</v>
      </c>
      <c r="C40" t="s">
        <v>21</v>
      </c>
    </row>
    <row r="41" spans="1:9" x14ac:dyDescent="0.3">
      <c r="A41" s="4" t="s">
        <v>7</v>
      </c>
      <c r="B41" s="2">
        <v>224</v>
      </c>
      <c r="C41" s="5">
        <v>0.51972157772621808</v>
      </c>
    </row>
    <row r="42" spans="1:9" x14ac:dyDescent="0.3">
      <c r="A42" s="4" t="s">
        <v>8</v>
      </c>
      <c r="B42" s="2">
        <v>207</v>
      </c>
      <c r="C42" s="5">
        <v>0.48027842227378192</v>
      </c>
    </row>
    <row r="43" spans="1:9" x14ac:dyDescent="0.3">
      <c r="A43" s="4" t="s">
        <v>3</v>
      </c>
      <c r="B43" s="2">
        <v>431</v>
      </c>
      <c r="C43" s="5">
        <v>1</v>
      </c>
    </row>
    <row r="47" spans="1:9" x14ac:dyDescent="0.3">
      <c r="A47" s="7" t="s">
        <v>9</v>
      </c>
      <c r="B47" s="8" t="s">
        <v>10</v>
      </c>
      <c r="C47" s="8" t="s">
        <v>11</v>
      </c>
      <c r="D47" s="7"/>
    </row>
    <row r="48" spans="1:9" x14ac:dyDescent="0.3">
      <c r="A48" t="str">
        <f>A42</f>
        <v>Not Admitted</v>
      </c>
      <c r="B48">
        <f t="shared" ref="B48:C48" si="0">B42</f>
        <v>207</v>
      </c>
      <c r="C48" s="6">
        <f t="shared" si="0"/>
        <v>0.48027842227378192</v>
      </c>
    </row>
    <row r="49" spans="1:3" x14ac:dyDescent="0.3">
      <c r="A49" t="str">
        <f>A41</f>
        <v>Admitted</v>
      </c>
      <c r="B49">
        <f t="shared" ref="B49:C49" si="1">B41</f>
        <v>224</v>
      </c>
      <c r="C49" s="6">
        <f t="shared" si="1"/>
        <v>0.51972157772621808</v>
      </c>
    </row>
    <row r="53" spans="1:3" x14ac:dyDescent="0.3">
      <c r="A53" t="s">
        <v>22</v>
      </c>
    </row>
    <row r="54" spans="1:3" x14ac:dyDescent="0.3">
      <c r="A54" s="1" t="s">
        <v>4</v>
      </c>
      <c r="B54" t="s">
        <v>20</v>
      </c>
    </row>
    <row r="55" spans="1:3" x14ac:dyDescent="0.3">
      <c r="A55" s="4" t="s">
        <v>12</v>
      </c>
      <c r="B55" s="9">
        <v>42</v>
      </c>
    </row>
    <row r="56" spans="1:3" x14ac:dyDescent="0.3">
      <c r="A56" s="4" t="s">
        <v>13</v>
      </c>
      <c r="B56" s="9">
        <v>46</v>
      </c>
    </row>
    <row r="57" spans="1:3" x14ac:dyDescent="0.3">
      <c r="A57" s="4" t="s">
        <v>14</v>
      </c>
      <c r="B57" s="9">
        <v>54</v>
      </c>
    </row>
    <row r="58" spans="1:3" x14ac:dyDescent="0.3">
      <c r="A58" s="4" t="s">
        <v>15</v>
      </c>
      <c r="B58" s="9">
        <v>68</v>
      </c>
    </row>
    <row r="59" spans="1:3" x14ac:dyDescent="0.3">
      <c r="A59" s="4" t="s">
        <v>16</v>
      </c>
      <c r="B59" s="9">
        <v>62</v>
      </c>
    </row>
    <row r="60" spans="1:3" x14ac:dyDescent="0.3">
      <c r="A60" s="4" t="s">
        <v>17</v>
      </c>
      <c r="B60" s="9">
        <v>52</v>
      </c>
    </row>
    <row r="61" spans="1:3" x14ac:dyDescent="0.3">
      <c r="A61" s="4" t="s">
        <v>18</v>
      </c>
      <c r="B61" s="9">
        <v>54</v>
      </c>
    </row>
    <row r="62" spans="1:3" x14ac:dyDescent="0.3">
      <c r="A62" s="4" t="s">
        <v>19</v>
      </c>
      <c r="B62" s="9">
        <v>53</v>
      </c>
    </row>
    <row r="63" spans="1:3" x14ac:dyDescent="0.3">
      <c r="A63" s="4" t="s">
        <v>3</v>
      </c>
      <c r="B63" s="9">
        <v>431</v>
      </c>
    </row>
    <row r="68" spans="1:2" x14ac:dyDescent="0.3">
      <c r="A68" t="s">
        <v>25</v>
      </c>
    </row>
    <row r="69" spans="1:2" x14ac:dyDescent="0.3">
      <c r="A69" s="1" t="s">
        <v>4</v>
      </c>
      <c r="B69" t="s">
        <v>5</v>
      </c>
    </row>
    <row r="70" spans="1:2" x14ac:dyDescent="0.3">
      <c r="A70" s="4" t="s">
        <v>23</v>
      </c>
      <c r="B70" s="9">
        <v>283</v>
      </c>
    </row>
    <row r="71" spans="1:2" x14ac:dyDescent="0.3">
      <c r="A71" s="4" t="s">
        <v>24</v>
      </c>
      <c r="B71" s="9">
        <v>148</v>
      </c>
    </row>
    <row r="72" spans="1:2" x14ac:dyDescent="0.3">
      <c r="A72" s="4" t="s">
        <v>3</v>
      </c>
      <c r="B72" s="9">
        <v>431</v>
      </c>
    </row>
    <row r="76" spans="1:2" x14ac:dyDescent="0.3">
      <c r="A76" t="s">
        <v>29</v>
      </c>
    </row>
    <row r="77" spans="1:2" x14ac:dyDescent="0.3">
      <c r="A77" s="1" t="s">
        <v>4</v>
      </c>
      <c r="B77" t="s">
        <v>28</v>
      </c>
    </row>
    <row r="78" spans="1:2" x14ac:dyDescent="0.3">
      <c r="A78" s="4" t="s">
        <v>26</v>
      </c>
      <c r="B78" s="9">
        <v>194</v>
      </c>
    </row>
    <row r="79" spans="1:2" x14ac:dyDescent="0.3">
      <c r="A79" s="4" t="s">
        <v>27</v>
      </c>
      <c r="B79" s="9">
        <v>237</v>
      </c>
    </row>
    <row r="80" spans="1:2" x14ac:dyDescent="0.3">
      <c r="A80" s="4" t="s">
        <v>3</v>
      </c>
      <c r="B80" s="9">
        <v>431</v>
      </c>
    </row>
    <row r="85" spans="1:2" x14ac:dyDescent="0.3">
      <c r="A85" t="s">
        <v>30</v>
      </c>
    </row>
    <row r="86" spans="1:2" x14ac:dyDescent="0.3">
      <c r="A86" s="1" t="s">
        <v>4</v>
      </c>
      <c r="B86" t="s">
        <v>39</v>
      </c>
    </row>
    <row r="87" spans="1:2" x14ac:dyDescent="0.3">
      <c r="A87" s="4" t="s">
        <v>34</v>
      </c>
      <c r="B87" s="9">
        <v>6</v>
      </c>
    </row>
    <row r="88" spans="1:2" x14ac:dyDescent="0.3">
      <c r="A88" s="4" t="s">
        <v>32</v>
      </c>
      <c r="B88" s="9">
        <v>6</v>
      </c>
    </row>
    <row r="89" spans="1:2" x14ac:dyDescent="0.3">
      <c r="A89" s="4" t="s">
        <v>38</v>
      </c>
      <c r="B89" s="9">
        <v>6</v>
      </c>
    </row>
    <row r="90" spans="1:2" x14ac:dyDescent="0.3">
      <c r="A90" s="4" t="s">
        <v>31</v>
      </c>
      <c r="B90" s="9">
        <v>12</v>
      </c>
    </row>
    <row r="91" spans="1:2" x14ac:dyDescent="0.3">
      <c r="A91" s="4" t="s">
        <v>37</v>
      </c>
      <c r="B91" s="9">
        <v>14</v>
      </c>
    </row>
    <row r="92" spans="1:2" x14ac:dyDescent="0.3">
      <c r="A92" s="4" t="s">
        <v>36</v>
      </c>
      <c r="B92" s="9">
        <v>46</v>
      </c>
    </row>
    <row r="93" spans="1:2" x14ac:dyDescent="0.3">
      <c r="A93" s="4" t="s">
        <v>33</v>
      </c>
      <c r="B93" s="9">
        <v>89</v>
      </c>
    </row>
    <row r="94" spans="1:2" x14ac:dyDescent="0.3">
      <c r="A94" s="4" t="s">
        <v>35</v>
      </c>
      <c r="B94" s="9">
        <v>252</v>
      </c>
    </row>
    <row r="95" spans="1:2" x14ac:dyDescent="0.3">
      <c r="A95" s="4" t="s">
        <v>3</v>
      </c>
      <c r="B95" s="9">
        <v>431</v>
      </c>
    </row>
    <row r="99" spans="1:1" x14ac:dyDescent="0.3">
      <c r="A99" s="1" t="s">
        <v>4</v>
      </c>
    </row>
    <row r="100" spans="1:1" x14ac:dyDescent="0.3">
      <c r="A100" s="4" t="s">
        <v>40</v>
      </c>
    </row>
    <row r="101" spans="1:1" x14ac:dyDescent="0.3">
      <c r="A101" s="4" t="s">
        <v>3</v>
      </c>
    </row>
  </sheetData>
  <pageMargins left="0.7" right="0.7" top="0.75" bottom="0.75" header="0.3" footer="0.3"/>
  <drawing r:id="rId1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58415F-6A60-4969-87E5-A193845B5B10}">
  <dimension ref="A1"/>
  <sheetViews>
    <sheetView tabSelected="1" zoomScale="70" zoomScaleNormal="70" workbookViewId="0">
      <selection activeCell="AB15" sqref="AB15"/>
    </sheetView>
  </sheetViews>
  <sheetFormatPr defaultRowHeight="14.4" x14ac:dyDescent="0.3"/>
  <cols>
    <col min="4" max="4" width="8.88671875" customWidth="1"/>
    <col min="8" max="8" width="8.88671875" customWidth="1"/>
    <col min="12" max="12" width="10.33203125" customWidth="1"/>
    <col min="13" max="13" width="1" customWidth="1"/>
  </cols>
  <sheetData/>
  <pageMargins left="0.7" right="0.7" top="0.75" bottom="0.75" header="0.3" footer="0.3"/>
  <drawing r:id="rId1"/>
  <legacy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CC799B-2B18-4CA4-822A-0E201EEAD1D8}">
  <dimension ref="A1:W30"/>
  <sheetViews>
    <sheetView workbookViewId="0"/>
  </sheetViews>
  <sheetFormatPr defaultRowHeight="14.4" x14ac:dyDescent="0.3"/>
  <sheetData>
    <row r="1" spans="1:23" x14ac:dyDescent="0.3">
      <c r="A1" s="3"/>
      <c r="B1" s="3"/>
      <c r="C1" s="3"/>
      <c r="D1" s="3"/>
      <c r="E1" s="3"/>
      <c r="F1" s="3"/>
      <c r="G1" s="3"/>
      <c r="H1" s="3"/>
      <c r="I1" s="3"/>
      <c r="J1" s="3"/>
      <c r="K1" s="3"/>
      <c r="L1" s="3"/>
      <c r="M1" s="3"/>
      <c r="N1" s="3"/>
      <c r="O1" s="3"/>
      <c r="P1" s="3"/>
      <c r="Q1" s="3"/>
      <c r="R1" s="3"/>
      <c r="S1" s="3"/>
      <c r="T1" s="3"/>
      <c r="U1" s="3"/>
      <c r="V1" s="3"/>
      <c r="W1" s="3"/>
    </row>
    <row r="2" spans="1:23" x14ac:dyDescent="0.3">
      <c r="A2" s="3"/>
      <c r="B2" s="3"/>
      <c r="C2" s="3"/>
      <c r="D2" s="3"/>
      <c r="E2" s="3"/>
      <c r="F2" s="3"/>
      <c r="G2" s="3"/>
      <c r="H2" s="3"/>
      <c r="I2" s="3"/>
      <c r="J2" s="3"/>
      <c r="K2" s="3"/>
      <c r="L2" s="3"/>
      <c r="M2" s="3"/>
      <c r="N2" s="3"/>
      <c r="O2" s="3"/>
      <c r="P2" s="3"/>
      <c r="Q2" s="3"/>
      <c r="R2" s="3"/>
      <c r="S2" s="3"/>
      <c r="T2" s="3"/>
      <c r="U2" s="3"/>
      <c r="V2" s="3"/>
      <c r="W2" s="3"/>
    </row>
    <row r="3" spans="1:23" x14ac:dyDescent="0.3">
      <c r="A3" s="3"/>
      <c r="B3" s="3"/>
      <c r="C3" s="3"/>
      <c r="D3" s="3"/>
      <c r="E3" s="3"/>
      <c r="F3" s="3"/>
      <c r="G3" s="3"/>
      <c r="H3" s="3"/>
      <c r="I3" s="3"/>
      <c r="J3" s="3"/>
      <c r="K3" s="3"/>
      <c r="L3" s="3"/>
      <c r="M3" s="3"/>
      <c r="N3" s="3"/>
      <c r="O3" s="3"/>
      <c r="P3" s="3"/>
      <c r="Q3" s="3"/>
      <c r="R3" s="3"/>
      <c r="S3" s="3"/>
      <c r="T3" s="3"/>
      <c r="U3" s="3"/>
      <c r="V3" s="3"/>
      <c r="W3" s="3"/>
    </row>
    <row r="4" spans="1:23" x14ac:dyDescent="0.3">
      <c r="A4" s="3"/>
      <c r="B4" s="3"/>
      <c r="C4" s="3"/>
      <c r="D4" s="3"/>
      <c r="E4" s="3"/>
      <c r="F4" s="3"/>
      <c r="G4" s="3"/>
      <c r="H4" s="3"/>
      <c r="I4" s="3"/>
      <c r="J4" s="3"/>
      <c r="K4" s="3"/>
      <c r="L4" s="3"/>
      <c r="M4" s="3"/>
      <c r="N4" s="3"/>
      <c r="O4" s="3"/>
      <c r="P4" s="3"/>
      <c r="Q4" s="3"/>
      <c r="R4" s="3"/>
      <c r="S4" s="3"/>
      <c r="T4" s="3"/>
      <c r="U4" s="3"/>
      <c r="V4" s="3"/>
      <c r="W4" s="3"/>
    </row>
    <row r="5" spans="1:23" x14ac:dyDescent="0.3">
      <c r="A5" s="3"/>
      <c r="B5" s="3"/>
      <c r="C5" s="3"/>
      <c r="D5" s="3"/>
      <c r="E5" s="3"/>
      <c r="F5" s="3"/>
      <c r="G5" s="3"/>
      <c r="H5" s="3"/>
      <c r="I5" s="3"/>
      <c r="J5" s="3"/>
      <c r="K5" s="3"/>
      <c r="L5" s="3"/>
      <c r="M5" s="3"/>
      <c r="N5" s="3"/>
      <c r="O5" s="3"/>
      <c r="P5" s="3"/>
      <c r="Q5" s="3"/>
      <c r="R5" s="3"/>
      <c r="S5" s="3"/>
      <c r="T5" s="3"/>
      <c r="U5" s="3"/>
      <c r="V5" s="3"/>
      <c r="W5" s="3"/>
    </row>
    <row r="6" spans="1:23" x14ac:dyDescent="0.3">
      <c r="A6" s="3"/>
      <c r="B6" s="3"/>
      <c r="C6" s="3"/>
      <c r="D6" s="3"/>
      <c r="E6" s="3"/>
      <c r="F6" s="3"/>
      <c r="G6" s="3"/>
      <c r="H6" s="3"/>
      <c r="I6" s="3"/>
      <c r="J6" s="3"/>
      <c r="K6" s="3"/>
      <c r="L6" s="3"/>
      <c r="M6" s="3"/>
      <c r="N6" s="3"/>
      <c r="O6" s="3"/>
      <c r="P6" s="3"/>
      <c r="Q6" s="3"/>
      <c r="R6" s="3"/>
      <c r="S6" s="3"/>
      <c r="T6" s="3"/>
      <c r="U6" s="3"/>
      <c r="V6" s="3"/>
      <c r="W6" s="3"/>
    </row>
    <row r="7" spans="1:23" x14ac:dyDescent="0.3">
      <c r="A7" s="3"/>
      <c r="B7" s="3"/>
      <c r="C7" s="3"/>
      <c r="D7" s="3"/>
      <c r="E7" s="3"/>
      <c r="F7" s="3"/>
      <c r="G7" s="3"/>
      <c r="H7" s="3"/>
      <c r="I7" s="3"/>
      <c r="J7" s="3"/>
      <c r="K7" s="3"/>
      <c r="L7" s="3"/>
      <c r="M7" s="3"/>
      <c r="N7" s="3"/>
      <c r="O7" s="3"/>
      <c r="P7" s="3"/>
      <c r="Q7" s="3"/>
      <c r="R7" s="3"/>
      <c r="S7" s="3"/>
      <c r="T7" s="3"/>
      <c r="U7" s="3"/>
      <c r="V7" s="3"/>
      <c r="W7" s="3"/>
    </row>
    <row r="8" spans="1:23" x14ac:dyDescent="0.3">
      <c r="A8" s="3"/>
      <c r="B8" s="3"/>
      <c r="C8" s="3"/>
      <c r="D8" s="3"/>
      <c r="E8" s="3"/>
      <c r="F8" s="3"/>
      <c r="G8" s="3"/>
      <c r="H8" s="3"/>
      <c r="I8" s="3"/>
      <c r="J8" s="3"/>
      <c r="K8" s="3"/>
      <c r="L8" s="3"/>
      <c r="M8" s="3"/>
      <c r="N8" s="3"/>
      <c r="O8" s="3"/>
      <c r="P8" s="3"/>
      <c r="Q8" s="3"/>
      <c r="R8" s="3"/>
      <c r="S8" s="3"/>
      <c r="T8" s="3"/>
      <c r="U8" s="3"/>
      <c r="V8" s="3"/>
      <c r="W8" s="3"/>
    </row>
    <row r="9" spans="1:23" x14ac:dyDescent="0.3">
      <c r="A9" s="3"/>
      <c r="B9" s="3"/>
      <c r="C9" s="3"/>
      <c r="D9" s="3"/>
      <c r="E9" s="3"/>
      <c r="F9" s="3"/>
      <c r="G9" s="3"/>
      <c r="H9" s="3"/>
      <c r="I9" s="3"/>
      <c r="J9" s="3"/>
      <c r="K9" s="3"/>
      <c r="L9" s="3"/>
      <c r="M9" s="3"/>
      <c r="N9" s="3"/>
      <c r="O9" s="3"/>
      <c r="P9" s="3"/>
      <c r="Q9" s="3"/>
      <c r="R9" s="3"/>
      <c r="S9" s="3"/>
      <c r="T9" s="3"/>
      <c r="U9" s="3"/>
      <c r="V9" s="3"/>
      <c r="W9" s="3"/>
    </row>
    <row r="10" spans="1:23" x14ac:dyDescent="0.3">
      <c r="A10" s="3"/>
      <c r="B10" s="3"/>
      <c r="C10" s="3"/>
      <c r="D10" s="3"/>
      <c r="E10" s="3"/>
      <c r="F10" s="3"/>
      <c r="G10" s="3"/>
      <c r="H10" s="3"/>
      <c r="I10" s="3"/>
      <c r="J10" s="3"/>
      <c r="K10" s="3"/>
      <c r="L10" s="3"/>
      <c r="M10" s="3"/>
      <c r="N10" s="3"/>
      <c r="O10" s="3"/>
      <c r="P10" s="3"/>
      <c r="Q10" s="3"/>
      <c r="R10" s="3"/>
      <c r="S10" s="3"/>
      <c r="T10" s="3"/>
      <c r="U10" s="3"/>
      <c r="V10" s="3"/>
      <c r="W10" s="3"/>
    </row>
    <row r="11" spans="1:23" x14ac:dyDescent="0.3">
      <c r="A11" s="3"/>
      <c r="B11" s="3"/>
      <c r="C11" s="3"/>
      <c r="D11" s="3"/>
      <c r="E11" s="3"/>
      <c r="F11" s="3"/>
      <c r="G11" s="3"/>
      <c r="H11" s="3"/>
      <c r="I11" s="3"/>
      <c r="J11" s="3"/>
      <c r="K11" s="3"/>
      <c r="L11" s="3"/>
      <c r="M11" s="3"/>
      <c r="N11" s="3"/>
      <c r="O11" s="3"/>
      <c r="P11" s="3"/>
      <c r="Q11" s="3"/>
      <c r="R11" s="3"/>
      <c r="S11" s="3"/>
      <c r="T11" s="3"/>
      <c r="U11" s="3"/>
      <c r="V11" s="3"/>
      <c r="W11" s="3"/>
    </row>
    <row r="12" spans="1:23" x14ac:dyDescent="0.3">
      <c r="A12" s="3"/>
      <c r="B12" s="3"/>
      <c r="C12" s="3"/>
      <c r="D12" s="3"/>
      <c r="E12" s="3"/>
      <c r="F12" s="3"/>
      <c r="G12" s="3"/>
      <c r="H12" s="3"/>
      <c r="I12" s="3"/>
      <c r="J12" s="3"/>
      <c r="K12" s="3"/>
      <c r="L12" s="3"/>
      <c r="M12" s="3"/>
      <c r="N12" s="3"/>
      <c r="O12" s="3"/>
      <c r="P12" s="3"/>
      <c r="Q12" s="3"/>
      <c r="R12" s="3"/>
      <c r="S12" s="3"/>
      <c r="T12" s="3"/>
      <c r="U12" s="3"/>
      <c r="V12" s="3"/>
      <c r="W12" s="3"/>
    </row>
    <row r="13" spans="1:23" x14ac:dyDescent="0.3">
      <c r="A13" s="3"/>
      <c r="B13" s="3"/>
      <c r="C13" s="3"/>
      <c r="D13" s="3"/>
      <c r="E13" s="3"/>
      <c r="F13" s="3"/>
      <c r="G13" s="3"/>
      <c r="H13" s="3"/>
      <c r="I13" s="3"/>
      <c r="J13" s="3"/>
      <c r="K13" s="3"/>
      <c r="L13" s="3"/>
      <c r="M13" s="3"/>
      <c r="N13" s="3"/>
      <c r="O13" s="3"/>
      <c r="P13" s="3"/>
      <c r="Q13" s="3"/>
      <c r="R13" s="3"/>
      <c r="S13" s="3"/>
      <c r="T13" s="3"/>
      <c r="U13" s="3"/>
      <c r="V13" s="3"/>
      <c r="W13" s="3"/>
    </row>
    <row r="14" spans="1:23" x14ac:dyDescent="0.3">
      <c r="A14" s="3"/>
      <c r="B14" s="3"/>
      <c r="C14" s="3"/>
      <c r="D14" s="3"/>
      <c r="E14" s="3"/>
      <c r="F14" s="3"/>
      <c r="G14" s="3"/>
      <c r="H14" s="3"/>
      <c r="I14" s="3"/>
      <c r="J14" s="3"/>
      <c r="K14" s="3"/>
      <c r="L14" s="3"/>
      <c r="M14" s="3"/>
      <c r="N14" s="3"/>
      <c r="O14" s="3"/>
      <c r="P14" s="3"/>
      <c r="Q14" s="3"/>
      <c r="R14" s="3"/>
      <c r="S14" s="3"/>
      <c r="T14" s="3"/>
      <c r="U14" s="3"/>
      <c r="V14" s="3"/>
      <c r="W14" s="3"/>
    </row>
    <row r="15" spans="1:23" x14ac:dyDescent="0.3">
      <c r="A15" s="3"/>
      <c r="B15" s="3"/>
      <c r="C15" s="3"/>
      <c r="D15" s="3"/>
      <c r="E15" s="3"/>
      <c r="F15" s="3"/>
      <c r="G15" s="3"/>
      <c r="H15" s="3"/>
      <c r="I15" s="3"/>
      <c r="J15" s="3"/>
      <c r="K15" s="3"/>
      <c r="L15" s="3"/>
      <c r="M15" s="3"/>
      <c r="N15" s="3"/>
      <c r="O15" s="3"/>
      <c r="P15" s="3"/>
      <c r="Q15" s="3"/>
      <c r="R15" s="3"/>
      <c r="S15" s="3"/>
      <c r="T15" s="3"/>
      <c r="U15" s="3"/>
      <c r="V15" s="3"/>
      <c r="W15" s="3"/>
    </row>
    <row r="16" spans="1:23" x14ac:dyDescent="0.3">
      <c r="A16" s="3"/>
      <c r="B16" s="3"/>
      <c r="C16" s="3"/>
      <c r="D16" s="3"/>
      <c r="E16" s="3"/>
      <c r="F16" s="3"/>
      <c r="G16" s="3"/>
      <c r="H16" s="3"/>
      <c r="I16" s="3"/>
      <c r="J16" s="3"/>
      <c r="K16" s="3"/>
      <c r="L16" s="3"/>
      <c r="M16" s="3"/>
      <c r="N16" s="3"/>
      <c r="O16" s="3"/>
      <c r="P16" s="3"/>
      <c r="Q16" s="3"/>
      <c r="R16" s="3"/>
      <c r="S16" s="3"/>
      <c r="T16" s="3"/>
      <c r="U16" s="3"/>
      <c r="V16" s="3"/>
      <c r="W16" s="3"/>
    </row>
    <row r="17" spans="1:23" x14ac:dyDescent="0.3">
      <c r="A17" s="3"/>
      <c r="B17" s="3"/>
      <c r="C17" s="3"/>
      <c r="D17" s="3"/>
      <c r="E17" s="3"/>
      <c r="F17" s="3"/>
      <c r="G17" s="3"/>
      <c r="H17" s="3"/>
      <c r="I17" s="3"/>
      <c r="J17" s="3"/>
      <c r="K17" s="3"/>
      <c r="L17" s="3"/>
      <c r="M17" s="3"/>
      <c r="N17" s="3"/>
      <c r="O17" s="3"/>
      <c r="P17" s="3"/>
      <c r="Q17" s="3"/>
      <c r="R17" s="3"/>
      <c r="S17" s="3"/>
      <c r="T17" s="3"/>
      <c r="U17" s="3"/>
      <c r="V17" s="3"/>
      <c r="W17" s="3"/>
    </row>
    <row r="18" spans="1:23" x14ac:dyDescent="0.3">
      <c r="A18" s="3"/>
      <c r="B18" s="3"/>
      <c r="C18" s="3"/>
      <c r="D18" s="3"/>
      <c r="E18" s="3"/>
      <c r="F18" s="3"/>
      <c r="G18" s="3"/>
      <c r="H18" s="3"/>
      <c r="I18" s="3"/>
      <c r="J18" s="3"/>
      <c r="K18" s="3"/>
      <c r="L18" s="3"/>
      <c r="M18" s="3"/>
      <c r="N18" s="3"/>
      <c r="O18" s="3"/>
      <c r="P18" s="3"/>
      <c r="Q18" s="3"/>
      <c r="R18" s="3"/>
      <c r="S18" s="3"/>
      <c r="T18" s="3"/>
      <c r="U18" s="3"/>
      <c r="V18" s="3"/>
      <c r="W18" s="3"/>
    </row>
    <row r="19" spans="1:23" x14ac:dyDescent="0.3">
      <c r="A19" s="3"/>
      <c r="B19" s="3"/>
      <c r="C19" s="3"/>
      <c r="D19" s="3"/>
      <c r="E19" s="3"/>
      <c r="F19" s="3"/>
      <c r="G19" s="3"/>
      <c r="H19" s="3"/>
      <c r="I19" s="3"/>
      <c r="J19" s="3"/>
      <c r="K19" s="3"/>
      <c r="L19" s="3"/>
      <c r="M19" s="3"/>
      <c r="N19" s="3"/>
      <c r="O19" s="3"/>
      <c r="P19" s="3"/>
      <c r="Q19" s="3"/>
      <c r="R19" s="3"/>
      <c r="S19" s="3"/>
      <c r="T19" s="3"/>
      <c r="U19" s="3"/>
      <c r="V19" s="3"/>
      <c r="W19" s="3"/>
    </row>
    <row r="20" spans="1:23" x14ac:dyDescent="0.3">
      <c r="A20" s="3"/>
      <c r="B20" s="3"/>
      <c r="C20" s="3"/>
      <c r="D20" s="3"/>
      <c r="E20" s="3"/>
      <c r="F20" s="3"/>
      <c r="G20" s="3"/>
      <c r="H20" s="3"/>
      <c r="I20" s="3"/>
      <c r="J20" s="3"/>
      <c r="K20" s="3"/>
      <c r="L20" s="3"/>
      <c r="M20" s="3"/>
      <c r="N20" s="3"/>
      <c r="O20" s="3"/>
      <c r="P20" s="3"/>
      <c r="Q20" s="3"/>
      <c r="R20" s="3"/>
      <c r="S20" s="3"/>
      <c r="T20" s="3"/>
      <c r="U20" s="3"/>
      <c r="V20" s="3"/>
      <c r="W20" s="3"/>
    </row>
    <row r="21" spans="1:23" x14ac:dyDescent="0.3">
      <c r="A21" s="3"/>
      <c r="B21" s="3"/>
      <c r="C21" s="3"/>
      <c r="D21" s="3"/>
      <c r="E21" s="3"/>
      <c r="F21" s="3"/>
      <c r="G21" s="3"/>
      <c r="H21" s="3"/>
      <c r="I21" s="3"/>
      <c r="J21" s="3"/>
      <c r="K21" s="3"/>
      <c r="L21" s="3"/>
      <c r="M21" s="3"/>
      <c r="N21" s="3"/>
      <c r="O21" s="3"/>
      <c r="P21" s="3"/>
      <c r="Q21" s="3"/>
      <c r="R21" s="3"/>
      <c r="S21" s="3"/>
      <c r="T21" s="3"/>
      <c r="U21" s="3"/>
      <c r="V21" s="3"/>
      <c r="W21" s="3"/>
    </row>
    <row r="22" spans="1:23" x14ac:dyDescent="0.3">
      <c r="A22" s="3"/>
      <c r="B22" s="3"/>
      <c r="C22" s="3"/>
      <c r="D22" s="3"/>
      <c r="E22" s="3"/>
      <c r="F22" s="3"/>
      <c r="G22" s="3"/>
      <c r="H22" s="3"/>
      <c r="I22" s="3"/>
      <c r="J22" s="3"/>
      <c r="K22" s="3"/>
      <c r="L22" s="3"/>
      <c r="M22" s="3"/>
      <c r="N22" s="3"/>
      <c r="O22" s="3"/>
      <c r="P22" s="3"/>
      <c r="Q22" s="3"/>
      <c r="R22" s="3"/>
      <c r="S22" s="3"/>
      <c r="T22" s="3"/>
      <c r="U22" s="3"/>
      <c r="V22" s="3"/>
      <c r="W22" s="3"/>
    </row>
    <row r="23" spans="1:23" x14ac:dyDescent="0.3">
      <c r="A23" s="3"/>
      <c r="B23" s="3"/>
      <c r="C23" s="3"/>
      <c r="D23" s="3"/>
      <c r="E23" s="3"/>
      <c r="F23" s="3"/>
      <c r="G23" s="3"/>
      <c r="H23" s="3"/>
      <c r="I23" s="3"/>
      <c r="J23" s="3"/>
      <c r="K23" s="3"/>
      <c r="L23" s="3"/>
      <c r="M23" s="3"/>
      <c r="N23" s="3"/>
      <c r="O23" s="3"/>
      <c r="P23" s="3"/>
      <c r="Q23" s="3"/>
      <c r="R23" s="3"/>
      <c r="S23" s="3"/>
      <c r="T23" s="3"/>
      <c r="U23" s="3"/>
      <c r="V23" s="3"/>
      <c r="W23" s="3"/>
    </row>
    <row r="24" spans="1:23" x14ac:dyDescent="0.3">
      <c r="A24" s="3"/>
      <c r="B24" s="3"/>
      <c r="C24" s="3"/>
      <c r="D24" s="3"/>
      <c r="E24" s="3"/>
      <c r="F24" s="3"/>
      <c r="G24" s="3"/>
      <c r="H24" s="3"/>
      <c r="I24" s="3"/>
      <c r="J24" s="3"/>
      <c r="K24" s="3"/>
      <c r="L24" s="3"/>
      <c r="M24" s="3"/>
      <c r="N24" s="3"/>
      <c r="O24" s="3"/>
      <c r="P24" s="3"/>
      <c r="Q24" s="3"/>
      <c r="R24" s="3"/>
      <c r="S24" s="3"/>
      <c r="T24" s="3"/>
      <c r="U24" s="3"/>
      <c r="V24" s="3"/>
      <c r="W24" s="3"/>
    </row>
    <row r="25" spans="1:23" x14ac:dyDescent="0.3">
      <c r="A25" s="3"/>
      <c r="B25" s="3"/>
      <c r="C25" s="3"/>
      <c r="D25" s="3"/>
      <c r="E25" s="3"/>
      <c r="F25" s="3"/>
      <c r="G25" s="3"/>
      <c r="H25" s="3"/>
      <c r="I25" s="3"/>
      <c r="J25" s="3"/>
      <c r="K25" s="3"/>
      <c r="L25" s="3"/>
      <c r="M25" s="3"/>
      <c r="N25" s="3"/>
      <c r="O25" s="3"/>
      <c r="P25" s="3"/>
      <c r="Q25" s="3"/>
      <c r="R25" s="3"/>
      <c r="S25" s="3"/>
      <c r="T25" s="3"/>
      <c r="U25" s="3"/>
      <c r="V25" s="3"/>
      <c r="W25" s="3"/>
    </row>
    <row r="26" spans="1:23" x14ac:dyDescent="0.3">
      <c r="A26" s="3"/>
      <c r="B26" s="3"/>
      <c r="C26" s="3"/>
      <c r="D26" s="3"/>
      <c r="E26" s="3"/>
      <c r="F26" s="3"/>
      <c r="G26" s="3"/>
      <c r="H26" s="3"/>
      <c r="I26" s="3"/>
      <c r="J26" s="3"/>
      <c r="K26" s="3"/>
      <c r="L26" s="3"/>
      <c r="M26" s="3"/>
      <c r="N26" s="3"/>
      <c r="O26" s="3"/>
      <c r="P26" s="3"/>
      <c r="Q26" s="3"/>
      <c r="R26" s="3"/>
      <c r="S26" s="3"/>
      <c r="T26" s="3"/>
      <c r="U26" s="3"/>
      <c r="V26" s="3"/>
      <c r="W26" s="3"/>
    </row>
    <row r="27" spans="1:23" x14ac:dyDescent="0.3">
      <c r="A27" s="3"/>
      <c r="B27" s="3"/>
      <c r="C27" s="3"/>
      <c r="D27" s="3"/>
      <c r="E27" s="3"/>
      <c r="F27" s="3"/>
      <c r="G27" s="3"/>
      <c r="H27" s="3"/>
      <c r="I27" s="3"/>
      <c r="J27" s="3"/>
      <c r="K27" s="3"/>
      <c r="L27" s="3"/>
      <c r="M27" s="3"/>
      <c r="N27" s="3"/>
      <c r="O27" s="3"/>
      <c r="P27" s="3"/>
      <c r="Q27" s="3"/>
      <c r="R27" s="3"/>
      <c r="S27" s="3"/>
      <c r="T27" s="3"/>
      <c r="U27" s="3"/>
      <c r="V27" s="3"/>
      <c r="W27" s="3"/>
    </row>
    <row r="28" spans="1:23" x14ac:dyDescent="0.3">
      <c r="A28" s="3"/>
      <c r="B28" s="3"/>
      <c r="C28" s="3"/>
      <c r="D28" s="3"/>
      <c r="E28" s="3"/>
      <c r="F28" s="3"/>
      <c r="G28" s="3"/>
      <c r="H28" s="3"/>
      <c r="I28" s="3"/>
      <c r="J28" s="3"/>
      <c r="K28" s="3"/>
      <c r="L28" s="3"/>
      <c r="M28" s="3"/>
      <c r="N28" s="3"/>
      <c r="O28" s="3"/>
      <c r="P28" s="3"/>
      <c r="Q28" s="3"/>
      <c r="R28" s="3"/>
      <c r="S28" s="3"/>
      <c r="T28" s="3"/>
      <c r="U28" s="3"/>
      <c r="V28" s="3"/>
      <c r="W28" s="3"/>
    </row>
    <row r="29" spans="1:23" x14ac:dyDescent="0.3">
      <c r="A29" s="3"/>
      <c r="B29" s="3"/>
      <c r="C29" s="3"/>
      <c r="D29" s="3"/>
      <c r="E29" s="3"/>
      <c r="F29" s="3"/>
      <c r="G29" s="3"/>
      <c r="H29" s="3"/>
      <c r="I29" s="3"/>
      <c r="J29" s="3"/>
      <c r="K29" s="3"/>
      <c r="L29" s="3"/>
      <c r="M29" s="3"/>
      <c r="N29" s="3"/>
      <c r="O29" s="3"/>
      <c r="P29" s="3"/>
      <c r="Q29" s="3"/>
      <c r="R29" s="3"/>
      <c r="S29" s="3"/>
      <c r="T29" s="3"/>
      <c r="U29" s="3"/>
      <c r="V29" s="3"/>
      <c r="W29" s="3"/>
    </row>
    <row r="30" spans="1:23" x14ac:dyDescent="0.3">
      <c r="A30" s="3"/>
      <c r="B30" s="3"/>
      <c r="C30" s="3"/>
      <c r="D30" s="3"/>
      <c r="E30" s="3"/>
      <c r="F30" s="3"/>
      <c r="G30" s="3"/>
      <c r="H30" s="3"/>
      <c r="I30" s="3"/>
      <c r="J30" s="3"/>
      <c r="K30" s="3"/>
      <c r="L30" s="3"/>
      <c r="M30" s="3"/>
      <c r="N30" s="3"/>
      <c r="O30" s="3"/>
      <c r="P30" s="3"/>
      <c r="Q30" s="3"/>
      <c r="R30" s="3"/>
      <c r="S30" s="3"/>
      <c r="T30" s="3"/>
      <c r="U30" s="3"/>
      <c r="V30" s="3"/>
      <c r="W30" s="3"/>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B710E4-81A6-49ED-9FC2-EE69F6AE54D3}">
  <dimension ref="A1:W28"/>
  <sheetViews>
    <sheetView workbookViewId="0"/>
  </sheetViews>
  <sheetFormatPr defaultRowHeight="14.4" x14ac:dyDescent="0.3"/>
  <sheetData>
    <row r="1" spans="1:23" x14ac:dyDescent="0.3">
      <c r="A1" s="3"/>
      <c r="B1" s="3"/>
      <c r="C1" s="3"/>
      <c r="D1" s="3"/>
      <c r="E1" s="3"/>
      <c r="F1" s="3"/>
      <c r="G1" s="3"/>
      <c r="H1" s="3"/>
      <c r="I1" s="3"/>
      <c r="J1" s="3"/>
      <c r="K1" s="3"/>
      <c r="L1" s="3"/>
      <c r="M1" s="3"/>
      <c r="N1" s="3"/>
      <c r="O1" s="3"/>
      <c r="P1" s="3"/>
      <c r="Q1" s="3"/>
      <c r="R1" s="3"/>
      <c r="S1" s="3"/>
      <c r="T1" s="3"/>
      <c r="U1" s="3"/>
      <c r="V1" s="3"/>
      <c r="W1" s="3"/>
    </row>
    <row r="2" spans="1:23" x14ac:dyDescent="0.3">
      <c r="A2" s="3"/>
      <c r="B2" s="3"/>
      <c r="C2" s="3"/>
      <c r="D2" s="3"/>
      <c r="E2" s="3"/>
      <c r="F2" s="3"/>
      <c r="G2" s="3"/>
      <c r="H2" s="3"/>
      <c r="I2" s="3"/>
      <c r="J2" s="3"/>
      <c r="K2" s="3"/>
      <c r="L2" s="3"/>
      <c r="M2" s="3"/>
      <c r="N2" s="3"/>
      <c r="O2" s="3"/>
      <c r="P2" s="3"/>
      <c r="Q2" s="3"/>
      <c r="R2" s="3"/>
      <c r="S2" s="3"/>
      <c r="T2" s="3"/>
      <c r="U2" s="3"/>
      <c r="V2" s="3"/>
      <c r="W2" s="3"/>
    </row>
    <row r="3" spans="1:23" x14ac:dyDescent="0.3">
      <c r="A3" s="3"/>
      <c r="B3" s="3"/>
      <c r="C3" s="3"/>
      <c r="D3" s="3"/>
      <c r="E3" s="3"/>
      <c r="F3" s="3"/>
      <c r="G3" s="3"/>
      <c r="H3" s="3"/>
      <c r="I3" s="3"/>
      <c r="J3" s="3"/>
      <c r="K3" s="3"/>
      <c r="L3" s="3"/>
      <c r="M3" s="3"/>
      <c r="N3" s="3"/>
      <c r="O3" s="3"/>
      <c r="P3" s="3"/>
      <c r="Q3" s="3"/>
      <c r="R3" s="3"/>
      <c r="S3" s="3"/>
      <c r="T3" s="3"/>
      <c r="U3" s="3"/>
      <c r="V3" s="3"/>
      <c r="W3" s="3"/>
    </row>
    <row r="4" spans="1:23" x14ac:dyDescent="0.3">
      <c r="A4" s="3"/>
      <c r="B4" s="3"/>
      <c r="C4" s="3"/>
      <c r="D4" s="3"/>
      <c r="E4" s="3"/>
      <c r="F4" s="3"/>
      <c r="G4" s="3"/>
      <c r="H4" s="3"/>
      <c r="I4" s="3"/>
      <c r="J4" s="3"/>
      <c r="K4" s="3"/>
      <c r="L4" s="3"/>
      <c r="M4" s="3"/>
      <c r="N4" s="3"/>
      <c r="O4" s="3"/>
      <c r="P4" s="3"/>
      <c r="Q4" s="3"/>
      <c r="R4" s="3"/>
      <c r="S4" s="3"/>
      <c r="T4" s="3"/>
      <c r="U4" s="3"/>
      <c r="V4" s="3"/>
      <c r="W4" s="3"/>
    </row>
    <row r="5" spans="1:23" x14ac:dyDescent="0.3">
      <c r="A5" s="3"/>
      <c r="B5" s="3"/>
      <c r="C5" s="3"/>
      <c r="D5" s="3"/>
      <c r="E5" s="3"/>
      <c r="F5" s="3"/>
      <c r="G5" s="3"/>
      <c r="H5" s="3"/>
      <c r="I5" s="3"/>
      <c r="J5" s="3"/>
      <c r="K5" s="3"/>
      <c r="L5" s="3"/>
      <c r="M5" s="3"/>
      <c r="N5" s="3"/>
      <c r="O5" s="3"/>
      <c r="P5" s="3"/>
      <c r="Q5" s="3"/>
      <c r="R5" s="3"/>
      <c r="S5" s="3"/>
      <c r="T5" s="3"/>
      <c r="U5" s="3"/>
      <c r="V5" s="3"/>
      <c r="W5" s="3"/>
    </row>
    <row r="6" spans="1:23" x14ac:dyDescent="0.3">
      <c r="A6" s="3"/>
      <c r="B6" s="3"/>
      <c r="C6" s="3"/>
      <c r="D6" s="3"/>
      <c r="E6" s="3"/>
      <c r="F6" s="3"/>
      <c r="G6" s="3"/>
      <c r="H6" s="3"/>
      <c r="I6" s="3"/>
      <c r="J6" s="3"/>
      <c r="K6" s="3"/>
      <c r="L6" s="3"/>
      <c r="M6" s="3"/>
      <c r="N6" s="3"/>
      <c r="O6" s="3"/>
      <c r="P6" s="3"/>
      <c r="Q6" s="3"/>
      <c r="R6" s="3"/>
      <c r="S6" s="3"/>
      <c r="T6" s="3"/>
      <c r="U6" s="3"/>
      <c r="V6" s="3"/>
      <c r="W6" s="3"/>
    </row>
    <row r="7" spans="1:23" x14ac:dyDescent="0.3">
      <c r="A7" s="3"/>
      <c r="B7" s="3"/>
      <c r="C7" s="3"/>
      <c r="D7" s="3"/>
      <c r="E7" s="3"/>
      <c r="F7" s="3"/>
      <c r="G7" s="3"/>
      <c r="H7" s="3"/>
      <c r="I7" s="3"/>
      <c r="J7" s="3"/>
      <c r="K7" s="3"/>
      <c r="L7" s="3"/>
      <c r="M7" s="3"/>
      <c r="N7" s="3"/>
      <c r="O7" s="3"/>
      <c r="P7" s="3"/>
      <c r="Q7" s="3"/>
      <c r="R7" s="3"/>
      <c r="S7" s="3"/>
      <c r="T7" s="3"/>
      <c r="U7" s="3"/>
      <c r="V7" s="3"/>
      <c r="W7" s="3"/>
    </row>
    <row r="8" spans="1:23" x14ac:dyDescent="0.3">
      <c r="A8" s="3"/>
      <c r="B8" s="3"/>
      <c r="C8" s="3"/>
      <c r="D8" s="3"/>
      <c r="E8" s="3"/>
      <c r="F8" s="3"/>
      <c r="G8" s="3"/>
      <c r="H8" s="3"/>
      <c r="I8" s="3"/>
      <c r="J8" s="3"/>
      <c r="K8" s="3"/>
      <c r="L8" s="3"/>
      <c r="M8" s="3"/>
      <c r="N8" s="3"/>
      <c r="O8" s="3"/>
      <c r="P8" s="3"/>
      <c r="Q8" s="3"/>
      <c r="R8" s="3"/>
      <c r="S8" s="3"/>
      <c r="T8" s="3"/>
      <c r="U8" s="3"/>
      <c r="V8" s="3"/>
      <c r="W8" s="3"/>
    </row>
    <row r="9" spans="1:23" x14ac:dyDescent="0.3">
      <c r="A9" s="3"/>
      <c r="B9" s="3"/>
      <c r="C9" s="3"/>
      <c r="D9" s="3"/>
      <c r="E9" s="3"/>
      <c r="F9" s="3"/>
      <c r="G9" s="3"/>
      <c r="H9" s="3"/>
      <c r="I9" s="3"/>
      <c r="J9" s="3"/>
      <c r="K9" s="3"/>
      <c r="L9" s="3"/>
      <c r="M9" s="3"/>
      <c r="N9" s="3"/>
      <c r="O9" s="3"/>
      <c r="P9" s="3"/>
      <c r="Q9" s="3"/>
      <c r="R9" s="3"/>
      <c r="S9" s="3"/>
      <c r="T9" s="3"/>
      <c r="U9" s="3"/>
      <c r="V9" s="3"/>
      <c r="W9" s="3"/>
    </row>
    <row r="10" spans="1:23" x14ac:dyDescent="0.3">
      <c r="A10" s="3"/>
      <c r="B10" s="3"/>
      <c r="C10" s="3"/>
      <c r="D10" s="3"/>
      <c r="E10" s="3"/>
      <c r="F10" s="3"/>
      <c r="G10" s="3"/>
      <c r="H10" s="3"/>
      <c r="I10" s="3"/>
      <c r="J10" s="3"/>
      <c r="K10" s="3"/>
      <c r="L10" s="3"/>
      <c r="M10" s="3"/>
      <c r="N10" s="3"/>
      <c r="O10" s="3"/>
      <c r="P10" s="3"/>
      <c r="Q10" s="3"/>
      <c r="R10" s="3"/>
      <c r="S10" s="3"/>
      <c r="T10" s="3"/>
      <c r="U10" s="3"/>
      <c r="V10" s="3"/>
      <c r="W10" s="3"/>
    </row>
    <row r="11" spans="1:23" x14ac:dyDescent="0.3">
      <c r="A11" s="3"/>
      <c r="B11" s="3"/>
      <c r="C11" s="3"/>
      <c r="D11" s="3"/>
      <c r="E11" s="3"/>
      <c r="F11" s="3"/>
      <c r="G11" s="3"/>
      <c r="H11" s="3"/>
      <c r="I11" s="3"/>
      <c r="J11" s="3"/>
      <c r="K11" s="3"/>
      <c r="L11" s="3"/>
      <c r="M11" s="3"/>
      <c r="N11" s="3"/>
      <c r="O11" s="3"/>
      <c r="P11" s="3"/>
      <c r="Q11" s="3"/>
      <c r="R11" s="3"/>
      <c r="S11" s="3"/>
      <c r="T11" s="3"/>
      <c r="U11" s="3"/>
      <c r="V11" s="3"/>
      <c r="W11" s="3"/>
    </row>
    <row r="12" spans="1:23" x14ac:dyDescent="0.3">
      <c r="A12" s="3"/>
      <c r="B12" s="3"/>
      <c r="C12" s="3"/>
      <c r="D12" s="3"/>
      <c r="E12" s="3"/>
      <c r="F12" s="3"/>
      <c r="G12" s="3"/>
      <c r="H12" s="3"/>
      <c r="I12" s="3"/>
      <c r="J12" s="3"/>
      <c r="K12" s="3"/>
      <c r="L12" s="3"/>
      <c r="M12" s="3"/>
      <c r="N12" s="3"/>
      <c r="O12" s="3"/>
      <c r="P12" s="3"/>
      <c r="Q12" s="3"/>
      <c r="R12" s="3"/>
      <c r="S12" s="3"/>
      <c r="T12" s="3"/>
      <c r="U12" s="3"/>
      <c r="V12" s="3"/>
      <c r="W12" s="3"/>
    </row>
    <row r="13" spans="1:23" x14ac:dyDescent="0.3">
      <c r="A13" s="3"/>
      <c r="B13" s="3"/>
      <c r="C13" s="3"/>
      <c r="D13" s="3"/>
      <c r="E13" s="3"/>
      <c r="F13" s="3"/>
      <c r="G13" s="3"/>
      <c r="H13" s="3"/>
      <c r="I13" s="3"/>
      <c r="J13" s="3"/>
      <c r="K13" s="3"/>
      <c r="L13" s="3"/>
      <c r="M13" s="3"/>
      <c r="N13" s="3"/>
      <c r="O13" s="3"/>
      <c r="P13" s="3"/>
      <c r="Q13" s="3"/>
      <c r="R13" s="3"/>
      <c r="S13" s="3"/>
      <c r="T13" s="3"/>
      <c r="U13" s="3"/>
      <c r="V13" s="3"/>
      <c r="W13" s="3"/>
    </row>
    <row r="14" spans="1:23" x14ac:dyDescent="0.3">
      <c r="A14" s="3"/>
      <c r="B14" s="3"/>
      <c r="C14" s="3"/>
      <c r="D14" s="3"/>
      <c r="E14" s="3"/>
      <c r="F14" s="3"/>
      <c r="G14" s="3"/>
      <c r="H14" s="3"/>
      <c r="I14" s="3"/>
      <c r="J14" s="3"/>
      <c r="K14" s="3"/>
      <c r="L14" s="3"/>
      <c r="M14" s="3"/>
      <c r="N14" s="3"/>
      <c r="O14" s="3"/>
      <c r="P14" s="3"/>
      <c r="Q14" s="3"/>
      <c r="R14" s="3"/>
      <c r="S14" s="3"/>
      <c r="T14" s="3"/>
      <c r="U14" s="3"/>
      <c r="V14" s="3"/>
      <c r="W14" s="3"/>
    </row>
    <row r="15" spans="1:23" x14ac:dyDescent="0.3">
      <c r="A15" s="3"/>
      <c r="B15" s="3"/>
      <c r="C15" s="3"/>
      <c r="D15" s="3"/>
      <c r="E15" s="3"/>
      <c r="F15" s="3"/>
      <c r="G15" s="3"/>
      <c r="H15" s="3"/>
      <c r="I15" s="3"/>
      <c r="J15" s="3"/>
      <c r="K15" s="3"/>
      <c r="L15" s="3"/>
      <c r="M15" s="3"/>
      <c r="N15" s="3"/>
      <c r="O15" s="3"/>
      <c r="P15" s="3"/>
      <c r="Q15" s="3"/>
      <c r="R15" s="3"/>
      <c r="S15" s="3"/>
      <c r="T15" s="3"/>
      <c r="U15" s="3"/>
      <c r="V15" s="3"/>
      <c r="W15" s="3"/>
    </row>
    <row r="16" spans="1:23" x14ac:dyDescent="0.3">
      <c r="A16" s="3"/>
      <c r="B16" s="3"/>
      <c r="C16" s="3"/>
      <c r="D16" s="3"/>
      <c r="E16" s="3"/>
      <c r="F16" s="3"/>
      <c r="G16" s="3"/>
      <c r="H16" s="3"/>
      <c r="I16" s="3"/>
      <c r="J16" s="3"/>
      <c r="K16" s="3"/>
      <c r="L16" s="3"/>
      <c r="M16" s="3"/>
      <c r="N16" s="3"/>
      <c r="O16" s="3"/>
      <c r="P16" s="3"/>
      <c r="Q16" s="3"/>
      <c r="R16" s="3"/>
      <c r="S16" s="3"/>
      <c r="T16" s="3"/>
      <c r="U16" s="3"/>
      <c r="V16" s="3"/>
      <c r="W16" s="3"/>
    </row>
    <row r="17" spans="1:23" x14ac:dyDescent="0.3">
      <c r="A17" s="3"/>
      <c r="B17" s="3"/>
      <c r="C17" s="3"/>
      <c r="D17" s="3"/>
      <c r="E17" s="3"/>
      <c r="F17" s="3"/>
      <c r="G17" s="3"/>
      <c r="H17" s="3"/>
      <c r="I17" s="3"/>
      <c r="J17" s="3"/>
      <c r="K17" s="3"/>
      <c r="L17" s="3"/>
      <c r="M17" s="3"/>
      <c r="N17" s="3"/>
      <c r="O17" s="3"/>
      <c r="P17" s="3"/>
      <c r="Q17" s="3"/>
      <c r="R17" s="3"/>
      <c r="S17" s="3"/>
      <c r="T17" s="3"/>
      <c r="U17" s="3"/>
      <c r="V17" s="3"/>
      <c r="W17" s="3"/>
    </row>
    <row r="18" spans="1:23" x14ac:dyDescent="0.3">
      <c r="A18" s="3"/>
      <c r="B18" s="3"/>
      <c r="C18" s="3"/>
      <c r="D18" s="3"/>
      <c r="E18" s="3"/>
      <c r="F18" s="3"/>
      <c r="G18" s="3"/>
      <c r="H18" s="3"/>
      <c r="I18" s="3"/>
      <c r="J18" s="3"/>
      <c r="K18" s="3"/>
      <c r="L18" s="3"/>
      <c r="M18" s="3"/>
      <c r="N18" s="3"/>
      <c r="O18" s="3"/>
      <c r="P18" s="3"/>
      <c r="Q18" s="3"/>
      <c r="R18" s="3"/>
      <c r="S18" s="3"/>
      <c r="T18" s="3"/>
      <c r="U18" s="3"/>
      <c r="V18" s="3"/>
      <c r="W18" s="3"/>
    </row>
    <row r="19" spans="1:23" x14ac:dyDescent="0.3">
      <c r="A19" s="3"/>
      <c r="B19" s="3"/>
      <c r="C19" s="3"/>
      <c r="D19" s="3"/>
      <c r="E19" s="3"/>
      <c r="F19" s="3"/>
      <c r="G19" s="3"/>
      <c r="H19" s="3"/>
      <c r="I19" s="3"/>
      <c r="J19" s="3"/>
      <c r="K19" s="3"/>
      <c r="L19" s="3"/>
      <c r="M19" s="3"/>
      <c r="N19" s="3"/>
      <c r="O19" s="3"/>
      <c r="P19" s="3"/>
      <c r="Q19" s="3"/>
      <c r="R19" s="3"/>
      <c r="S19" s="3"/>
      <c r="T19" s="3"/>
      <c r="U19" s="3"/>
      <c r="V19" s="3"/>
      <c r="W19" s="3"/>
    </row>
    <row r="20" spans="1:23" x14ac:dyDescent="0.3">
      <c r="A20" s="3"/>
      <c r="B20" s="3"/>
      <c r="C20" s="3"/>
      <c r="D20" s="3"/>
      <c r="E20" s="3"/>
      <c r="F20" s="3"/>
      <c r="G20" s="3"/>
      <c r="H20" s="3"/>
      <c r="I20" s="3"/>
      <c r="J20" s="3"/>
      <c r="K20" s="3"/>
      <c r="L20" s="3"/>
      <c r="M20" s="3"/>
      <c r="N20" s="3"/>
      <c r="O20" s="3"/>
      <c r="P20" s="3"/>
      <c r="Q20" s="3"/>
      <c r="R20" s="3"/>
      <c r="S20" s="3"/>
      <c r="T20" s="3"/>
      <c r="U20" s="3"/>
      <c r="V20" s="3"/>
      <c r="W20" s="3"/>
    </row>
    <row r="21" spans="1:23" x14ac:dyDescent="0.3">
      <c r="A21" s="3"/>
      <c r="B21" s="3"/>
      <c r="C21" s="3"/>
      <c r="D21" s="3"/>
      <c r="E21" s="3"/>
      <c r="F21" s="3"/>
      <c r="G21" s="3"/>
      <c r="H21" s="3"/>
      <c r="I21" s="3"/>
      <c r="J21" s="3"/>
      <c r="K21" s="3"/>
      <c r="L21" s="3"/>
      <c r="M21" s="3"/>
      <c r="N21" s="3"/>
      <c r="O21" s="3"/>
      <c r="P21" s="3"/>
      <c r="Q21" s="3"/>
      <c r="R21" s="3"/>
      <c r="S21" s="3"/>
      <c r="T21" s="3"/>
      <c r="U21" s="3"/>
      <c r="V21" s="3"/>
      <c r="W21" s="3"/>
    </row>
    <row r="22" spans="1:23" x14ac:dyDescent="0.3">
      <c r="A22" s="3"/>
      <c r="B22" s="3"/>
      <c r="C22" s="3"/>
      <c r="D22" s="3"/>
      <c r="E22" s="3"/>
      <c r="F22" s="3"/>
      <c r="G22" s="3"/>
      <c r="H22" s="3"/>
      <c r="I22" s="3"/>
      <c r="J22" s="3"/>
      <c r="K22" s="3"/>
      <c r="L22" s="3"/>
      <c r="M22" s="3"/>
      <c r="N22" s="3"/>
      <c r="O22" s="3"/>
      <c r="P22" s="3"/>
      <c r="Q22" s="3"/>
      <c r="R22" s="3"/>
      <c r="S22" s="3"/>
      <c r="T22" s="3"/>
      <c r="U22" s="3"/>
      <c r="V22" s="3"/>
      <c r="W22" s="3"/>
    </row>
    <row r="23" spans="1:23" x14ac:dyDescent="0.3">
      <c r="A23" s="3"/>
      <c r="B23" s="3"/>
      <c r="C23" s="3"/>
      <c r="D23" s="3"/>
      <c r="E23" s="3"/>
      <c r="F23" s="3"/>
      <c r="G23" s="3"/>
      <c r="H23" s="3"/>
      <c r="I23" s="3"/>
      <c r="J23" s="3"/>
      <c r="K23" s="3"/>
      <c r="L23" s="3"/>
      <c r="M23" s="3"/>
      <c r="N23" s="3"/>
      <c r="O23" s="3"/>
      <c r="P23" s="3"/>
      <c r="Q23" s="3"/>
      <c r="R23" s="3"/>
      <c r="S23" s="3"/>
      <c r="T23" s="3"/>
      <c r="U23" s="3"/>
      <c r="V23" s="3"/>
      <c r="W23" s="3"/>
    </row>
    <row r="24" spans="1:23" x14ac:dyDescent="0.3">
      <c r="A24" s="3"/>
      <c r="B24" s="3"/>
      <c r="C24" s="3"/>
      <c r="D24" s="3"/>
      <c r="E24" s="3"/>
      <c r="F24" s="3"/>
      <c r="G24" s="3"/>
      <c r="H24" s="3"/>
      <c r="I24" s="3"/>
      <c r="J24" s="3"/>
      <c r="K24" s="3"/>
      <c r="L24" s="3"/>
      <c r="M24" s="3"/>
      <c r="N24" s="3"/>
      <c r="O24" s="3"/>
      <c r="P24" s="3"/>
      <c r="Q24" s="3"/>
      <c r="R24" s="3"/>
      <c r="S24" s="3"/>
      <c r="T24" s="3"/>
      <c r="U24" s="3"/>
      <c r="V24" s="3"/>
      <c r="W24" s="3"/>
    </row>
    <row r="25" spans="1:23" x14ac:dyDescent="0.3">
      <c r="A25" s="3"/>
      <c r="B25" s="3"/>
      <c r="C25" s="3"/>
      <c r="D25" s="3"/>
      <c r="E25" s="3"/>
      <c r="F25" s="3"/>
      <c r="G25" s="3"/>
      <c r="H25" s="3"/>
      <c r="I25" s="3"/>
      <c r="J25" s="3"/>
      <c r="K25" s="3"/>
      <c r="L25" s="3"/>
      <c r="M25" s="3"/>
      <c r="N25" s="3"/>
      <c r="O25" s="3"/>
      <c r="P25" s="3"/>
      <c r="Q25" s="3"/>
      <c r="R25" s="3"/>
      <c r="S25" s="3"/>
      <c r="T25" s="3"/>
      <c r="U25" s="3"/>
      <c r="V25" s="3"/>
      <c r="W25" s="3"/>
    </row>
    <row r="26" spans="1:23" x14ac:dyDescent="0.3">
      <c r="A26" s="3"/>
      <c r="B26" s="3"/>
      <c r="C26" s="3"/>
      <c r="D26" s="3"/>
      <c r="E26" s="3"/>
      <c r="F26" s="3"/>
      <c r="G26" s="3"/>
      <c r="H26" s="3"/>
      <c r="I26" s="3"/>
      <c r="J26" s="3"/>
      <c r="K26" s="3"/>
      <c r="L26" s="3"/>
      <c r="M26" s="3"/>
      <c r="N26" s="3"/>
      <c r="O26" s="3"/>
      <c r="P26" s="3"/>
      <c r="Q26" s="3"/>
      <c r="R26" s="3"/>
      <c r="S26" s="3"/>
      <c r="T26" s="3"/>
      <c r="U26" s="3"/>
      <c r="V26" s="3"/>
      <c r="W26" s="3"/>
    </row>
    <row r="27" spans="1:23" x14ac:dyDescent="0.3">
      <c r="A27" s="3"/>
      <c r="B27" s="3"/>
      <c r="C27" s="3"/>
      <c r="D27" s="3"/>
      <c r="E27" s="3"/>
      <c r="F27" s="3"/>
      <c r="G27" s="3"/>
      <c r="H27" s="3"/>
      <c r="I27" s="3"/>
      <c r="J27" s="3"/>
      <c r="K27" s="3"/>
      <c r="L27" s="3"/>
      <c r="M27" s="3"/>
      <c r="N27" s="3"/>
      <c r="O27" s="3"/>
      <c r="P27" s="3"/>
      <c r="Q27" s="3"/>
      <c r="R27" s="3"/>
      <c r="S27" s="3"/>
      <c r="T27" s="3"/>
      <c r="U27" s="3"/>
      <c r="V27" s="3"/>
      <c r="W27" s="3"/>
    </row>
    <row r="28" spans="1:23" x14ac:dyDescent="0.3">
      <c r="A28" s="3"/>
      <c r="B28" s="3"/>
      <c r="C28" s="3"/>
      <c r="D28" s="3"/>
      <c r="E28" s="3"/>
      <c r="F28" s="3"/>
      <c r="G28" s="3"/>
      <c r="H28" s="3"/>
      <c r="I28" s="3"/>
      <c r="J28" s="3"/>
      <c r="K28" s="3"/>
      <c r="L28" s="3"/>
      <c r="M28" s="3"/>
      <c r="N28" s="3"/>
      <c r="O28" s="3"/>
      <c r="P28" s="3"/>
      <c r="Q28" s="3"/>
      <c r="R28" s="3"/>
      <c r="S28" s="3"/>
      <c r="T28" s="3"/>
      <c r="U28" s="3"/>
      <c r="V28" s="3"/>
      <c r="W28" s="3"/>
    </row>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6D2F8B-E63A-455C-A4DF-19F901621A1E}">
  <dimension ref="A1:W29"/>
  <sheetViews>
    <sheetView workbookViewId="0"/>
  </sheetViews>
  <sheetFormatPr defaultRowHeight="14.4" x14ac:dyDescent="0.3"/>
  <sheetData>
    <row r="1" spans="1:23" x14ac:dyDescent="0.3">
      <c r="A1" s="3"/>
      <c r="B1" s="3"/>
      <c r="C1" s="3"/>
      <c r="D1" s="3"/>
      <c r="E1" s="3"/>
      <c r="F1" s="3"/>
      <c r="G1" s="3"/>
      <c r="H1" s="3"/>
      <c r="I1" s="3"/>
      <c r="J1" s="3"/>
      <c r="K1" s="3"/>
      <c r="L1" s="3"/>
      <c r="M1" s="3"/>
      <c r="N1" s="3"/>
      <c r="O1" s="3"/>
      <c r="P1" s="3"/>
      <c r="Q1" s="3"/>
      <c r="R1" s="3"/>
      <c r="S1" s="3"/>
      <c r="T1" s="3"/>
      <c r="U1" s="3"/>
      <c r="V1" s="3"/>
      <c r="W1" s="3"/>
    </row>
    <row r="2" spans="1:23" x14ac:dyDescent="0.3">
      <c r="A2" s="3"/>
      <c r="B2" s="3"/>
      <c r="C2" s="3"/>
      <c r="D2" s="3"/>
      <c r="E2" s="3"/>
      <c r="F2" s="3"/>
      <c r="G2" s="3"/>
      <c r="H2" s="3"/>
      <c r="I2" s="3"/>
      <c r="J2" s="3"/>
      <c r="K2" s="3"/>
      <c r="L2" s="3"/>
      <c r="M2" s="3"/>
      <c r="N2" s="3"/>
      <c r="O2" s="3"/>
      <c r="P2" s="3"/>
      <c r="Q2" s="3"/>
      <c r="R2" s="3"/>
      <c r="S2" s="3"/>
      <c r="T2" s="3"/>
      <c r="U2" s="3"/>
      <c r="V2" s="3"/>
      <c r="W2" s="3"/>
    </row>
    <row r="3" spans="1:23" x14ac:dyDescent="0.3">
      <c r="A3" s="3"/>
      <c r="B3" s="3"/>
      <c r="C3" s="3"/>
      <c r="D3" s="3"/>
      <c r="E3" s="3"/>
      <c r="F3" s="3"/>
      <c r="G3" s="3"/>
      <c r="H3" s="3"/>
      <c r="I3" s="3"/>
      <c r="J3" s="3"/>
      <c r="K3" s="3"/>
      <c r="L3" s="3"/>
      <c r="M3" s="3"/>
      <c r="N3" s="3"/>
      <c r="O3" s="3"/>
      <c r="P3" s="3"/>
      <c r="Q3" s="3"/>
      <c r="R3" s="3"/>
      <c r="S3" s="3"/>
      <c r="T3" s="3"/>
      <c r="U3" s="3"/>
      <c r="V3" s="3"/>
      <c r="W3" s="3"/>
    </row>
    <row r="4" spans="1:23" x14ac:dyDescent="0.3">
      <c r="A4" s="3"/>
      <c r="B4" s="3"/>
      <c r="C4" s="3"/>
      <c r="D4" s="3"/>
      <c r="E4" s="3"/>
      <c r="F4" s="3"/>
      <c r="G4" s="3"/>
      <c r="H4" s="3"/>
      <c r="I4" s="3"/>
      <c r="J4" s="3"/>
      <c r="K4" s="3"/>
      <c r="L4" s="3"/>
      <c r="M4" s="3"/>
      <c r="N4" s="3"/>
      <c r="O4" s="3"/>
      <c r="P4" s="3"/>
      <c r="Q4" s="3"/>
      <c r="R4" s="3"/>
      <c r="S4" s="3"/>
      <c r="T4" s="3"/>
      <c r="U4" s="3"/>
      <c r="V4" s="3"/>
      <c r="W4" s="3"/>
    </row>
    <row r="5" spans="1:23" x14ac:dyDescent="0.3">
      <c r="A5" s="3"/>
      <c r="B5" s="3"/>
      <c r="C5" s="3"/>
      <c r="D5" s="3"/>
      <c r="E5" s="3"/>
      <c r="F5" s="3"/>
      <c r="G5" s="3"/>
      <c r="H5" s="3"/>
      <c r="I5" s="3"/>
      <c r="J5" s="3"/>
      <c r="K5" s="3"/>
      <c r="L5" s="3"/>
      <c r="M5" s="3"/>
      <c r="N5" s="3"/>
      <c r="O5" s="3"/>
      <c r="P5" s="3"/>
      <c r="Q5" s="3"/>
      <c r="R5" s="3"/>
      <c r="S5" s="3"/>
      <c r="T5" s="3"/>
      <c r="U5" s="3"/>
      <c r="V5" s="3"/>
      <c r="W5" s="3"/>
    </row>
    <row r="6" spans="1:23" x14ac:dyDescent="0.3">
      <c r="A6" s="3"/>
      <c r="B6" s="3"/>
      <c r="C6" s="3"/>
      <c r="D6" s="3"/>
      <c r="E6" s="3"/>
      <c r="F6" s="3"/>
      <c r="G6" s="3"/>
      <c r="H6" s="3"/>
      <c r="I6" s="3"/>
      <c r="J6" s="3"/>
      <c r="K6" s="3"/>
      <c r="L6" s="3"/>
      <c r="M6" s="3"/>
      <c r="N6" s="3"/>
      <c r="O6" s="3"/>
      <c r="P6" s="3"/>
      <c r="Q6" s="3"/>
      <c r="R6" s="3"/>
      <c r="S6" s="3"/>
      <c r="T6" s="3"/>
      <c r="U6" s="3"/>
      <c r="V6" s="3"/>
      <c r="W6" s="3"/>
    </row>
    <row r="7" spans="1:23" x14ac:dyDescent="0.3">
      <c r="A7" s="3"/>
      <c r="B7" s="3"/>
      <c r="C7" s="3"/>
      <c r="D7" s="3"/>
      <c r="E7" s="3"/>
      <c r="F7" s="3"/>
      <c r="G7" s="3"/>
      <c r="H7" s="3"/>
      <c r="I7" s="3"/>
      <c r="J7" s="3"/>
      <c r="K7" s="3"/>
      <c r="L7" s="3"/>
      <c r="M7" s="3"/>
      <c r="N7" s="3"/>
      <c r="O7" s="3"/>
      <c r="P7" s="3"/>
      <c r="Q7" s="3"/>
      <c r="R7" s="3"/>
      <c r="S7" s="3"/>
      <c r="T7" s="3"/>
      <c r="U7" s="3"/>
      <c r="V7" s="3"/>
      <c r="W7" s="3"/>
    </row>
    <row r="8" spans="1:23" x14ac:dyDescent="0.3">
      <c r="A8" s="3"/>
      <c r="B8" s="3"/>
      <c r="C8" s="3"/>
      <c r="D8" s="3"/>
      <c r="E8" s="3"/>
      <c r="F8" s="3"/>
      <c r="G8" s="3"/>
      <c r="H8" s="3"/>
      <c r="I8" s="3"/>
      <c r="J8" s="3"/>
      <c r="K8" s="3"/>
      <c r="L8" s="3"/>
      <c r="M8" s="3"/>
      <c r="N8" s="3"/>
      <c r="O8" s="3"/>
      <c r="P8" s="3"/>
      <c r="Q8" s="3"/>
      <c r="R8" s="3"/>
      <c r="S8" s="3"/>
      <c r="T8" s="3"/>
      <c r="U8" s="3"/>
      <c r="V8" s="3"/>
      <c r="W8" s="3"/>
    </row>
    <row r="9" spans="1:23" x14ac:dyDescent="0.3">
      <c r="A9" s="3"/>
      <c r="B9" s="3"/>
      <c r="C9" s="3"/>
      <c r="D9" s="3"/>
      <c r="E9" s="3"/>
      <c r="F9" s="3"/>
      <c r="G9" s="3"/>
      <c r="H9" s="3"/>
      <c r="I9" s="3"/>
      <c r="J9" s="3"/>
      <c r="K9" s="3"/>
      <c r="L9" s="3"/>
      <c r="M9" s="3"/>
      <c r="N9" s="3"/>
      <c r="O9" s="3"/>
      <c r="P9" s="3"/>
      <c r="Q9" s="3"/>
      <c r="R9" s="3"/>
      <c r="S9" s="3"/>
      <c r="T9" s="3"/>
      <c r="U9" s="3"/>
      <c r="V9" s="3"/>
      <c r="W9" s="3"/>
    </row>
    <row r="10" spans="1:23" x14ac:dyDescent="0.3">
      <c r="A10" s="3"/>
      <c r="B10" s="3"/>
      <c r="C10" s="3"/>
      <c r="D10" s="3"/>
      <c r="E10" s="3"/>
      <c r="F10" s="3"/>
      <c r="G10" s="3"/>
      <c r="H10" s="3"/>
      <c r="I10" s="3"/>
      <c r="J10" s="3"/>
      <c r="K10" s="3"/>
      <c r="L10" s="3"/>
      <c r="M10" s="3"/>
      <c r="N10" s="3"/>
      <c r="O10" s="3"/>
      <c r="P10" s="3"/>
      <c r="Q10" s="3"/>
      <c r="R10" s="3"/>
      <c r="S10" s="3"/>
      <c r="T10" s="3"/>
      <c r="U10" s="3"/>
      <c r="V10" s="3"/>
      <c r="W10" s="3"/>
    </row>
    <row r="11" spans="1:23" x14ac:dyDescent="0.3">
      <c r="A11" s="3"/>
      <c r="B11" s="3"/>
      <c r="C11" s="3"/>
      <c r="D11" s="3"/>
      <c r="E11" s="3"/>
      <c r="F11" s="3"/>
      <c r="G11" s="3"/>
      <c r="H11" s="3"/>
      <c r="I11" s="3"/>
      <c r="J11" s="3"/>
      <c r="K11" s="3"/>
      <c r="L11" s="3"/>
      <c r="M11" s="3"/>
      <c r="N11" s="3"/>
      <c r="O11" s="3"/>
      <c r="P11" s="3"/>
      <c r="Q11" s="3"/>
      <c r="R11" s="3"/>
      <c r="S11" s="3"/>
      <c r="T11" s="3"/>
      <c r="U11" s="3"/>
      <c r="V11" s="3"/>
      <c r="W11" s="3"/>
    </row>
    <row r="12" spans="1:23" x14ac:dyDescent="0.3">
      <c r="A12" s="3"/>
      <c r="B12" s="3"/>
      <c r="C12" s="3"/>
      <c r="D12" s="3"/>
      <c r="E12" s="3"/>
      <c r="F12" s="3"/>
      <c r="G12" s="3"/>
      <c r="H12" s="3"/>
      <c r="I12" s="3"/>
      <c r="J12" s="3"/>
      <c r="K12" s="3"/>
      <c r="L12" s="3"/>
      <c r="M12" s="3"/>
      <c r="N12" s="3"/>
      <c r="O12" s="3"/>
      <c r="P12" s="3"/>
      <c r="Q12" s="3"/>
      <c r="R12" s="3"/>
      <c r="S12" s="3"/>
      <c r="T12" s="3"/>
      <c r="U12" s="3"/>
      <c r="V12" s="3"/>
      <c r="W12" s="3"/>
    </row>
    <row r="13" spans="1:23" x14ac:dyDescent="0.3">
      <c r="A13" s="3"/>
      <c r="B13" s="3"/>
      <c r="C13" s="3"/>
      <c r="D13" s="3"/>
      <c r="E13" s="3"/>
      <c r="F13" s="3"/>
      <c r="G13" s="3"/>
      <c r="H13" s="3"/>
      <c r="I13" s="3"/>
      <c r="J13" s="3"/>
      <c r="K13" s="3"/>
      <c r="L13" s="3"/>
      <c r="M13" s="3"/>
      <c r="N13" s="3"/>
      <c r="O13" s="3"/>
      <c r="P13" s="3"/>
      <c r="Q13" s="3"/>
      <c r="R13" s="3"/>
      <c r="S13" s="3"/>
      <c r="T13" s="3"/>
      <c r="U13" s="3"/>
      <c r="V13" s="3"/>
      <c r="W13" s="3"/>
    </row>
    <row r="14" spans="1:23" x14ac:dyDescent="0.3">
      <c r="A14" s="3"/>
      <c r="B14" s="3"/>
      <c r="C14" s="3"/>
      <c r="D14" s="3"/>
      <c r="E14" s="3"/>
      <c r="F14" s="3"/>
      <c r="G14" s="3"/>
      <c r="H14" s="3"/>
      <c r="I14" s="3"/>
      <c r="J14" s="3"/>
      <c r="K14" s="3"/>
      <c r="L14" s="3"/>
      <c r="M14" s="3"/>
      <c r="N14" s="3"/>
      <c r="O14" s="3"/>
      <c r="P14" s="3"/>
      <c r="Q14" s="3"/>
      <c r="R14" s="3"/>
      <c r="S14" s="3"/>
      <c r="T14" s="3"/>
      <c r="U14" s="3"/>
      <c r="V14" s="3"/>
      <c r="W14" s="3"/>
    </row>
    <row r="15" spans="1:23" x14ac:dyDescent="0.3">
      <c r="A15" s="3"/>
      <c r="B15" s="3"/>
      <c r="C15" s="3"/>
      <c r="D15" s="3"/>
      <c r="E15" s="3"/>
      <c r="F15" s="3"/>
      <c r="G15" s="3"/>
      <c r="H15" s="3"/>
      <c r="I15" s="3"/>
      <c r="J15" s="3"/>
      <c r="K15" s="3"/>
      <c r="L15" s="3"/>
      <c r="M15" s="3"/>
      <c r="N15" s="3"/>
      <c r="O15" s="3"/>
      <c r="P15" s="3"/>
      <c r="Q15" s="3"/>
      <c r="R15" s="3"/>
      <c r="S15" s="3"/>
      <c r="T15" s="3"/>
      <c r="U15" s="3"/>
      <c r="V15" s="3"/>
      <c r="W15" s="3"/>
    </row>
    <row r="16" spans="1:23" x14ac:dyDescent="0.3">
      <c r="A16" s="3"/>
      <c r="B16" s="3"/>
      <c r="C16" s="3"/>
      <c r="D16" s="3"/>
      <c r="E16" s="3"/>
      <c r="F16" s="3"/>
      <c r="G16" s="3"/>
      <c r="H16" s="3"/>
      <c r="I16" s="3"/>
      <c r="J16" s="3"/>
      <c r="K16" s="3"/>
      <c r="L16" s="3"/>
      <c r="M16" s="3"/>
      <c r="N16" s="3"/>
      <c r="O16" s="3"/>
      <c r="P16" s="3"/>
      <c r="Q16" s="3"/>
      <c r="R16" s="3"/>
      <c r="S16" s="3"/>
      <c r="T16" s="3"/>
      <c r="U16" s="3"/>
      <c r="V16" s="3"/>
      <c r="W16" s="3"/>
    </row>
    <row r="17" spans="1:23" x14ac:dyDescent="0.3">
      <c r="A17" s="3"/>
      <c r="B17" s="3"/>
      <c r="C17" s="3"/>
      <c r="D17" s="3"/>
      <c r="E17" s="3"/>
      <c r="F17" s="3"/>
      <c r="G17" s="3"/>
      <c r="H17" s="3"/>
      <c r="I17" s="3"/>
      <c r="J17" s="3"/>
      <c r="K17" s="3"/>
      <c r="L17" s="3"/>
      <c r="M17" s="3"/>
      <c r="N17" s="3"/>
      <c r="O17" s="3"/>
      <c r="P17" s="3"/>
      <c r="Q17" s="3"/>
      <c r="R17" s="3"/>
      <c r="S17" s="3"/>
      <c r="T17" s="3"/>
      <c r="U17" s="3"/>
      <c r="V17" s="3"/>
      <c r="W17" s="3"/>
    </row>
    <row r="18" spans="1:23" x14ac:dyDescent="0.3">
      <c r="A18" s="3"/>
      <c r="B18" s="3"/>
      <c r="C18" s="3"/>
      <c r="D18" s="3"/>
      <c r="E18" s="3"/>
      <c r="F18" s="3"/>
      <c r="G18" s="3"/>
      <c r="H18" s="3"/>
      <c r="I18" s="3"/>
      <c r="J18" s="3"/>
      <c r="K18" s="3"/>
      <c r="L18" s="3"/>
      <c r="M18" s="3"/>
      <c r="N18" s="3"/>
      <c r="O18" s="3"/>
      <c r="P18" s="3"/>
      <c r="Q18" s="3"/>
      <c r="R18" s="3"/>
      <c r="S18" s="3"/>
      <c r="T18" s="3"/>
      <c r="U18" s="3"/>
      <c r="V18" s="3"/>
      <c r="W18" s="3"/>
    </row>
    <row r="19" spans="1:23" x14ac:dyDescent="0.3">
      <c r="A19" s="3"/>
      <c r="B19" s="3"/>
      <c r="C19" s="3"/>
      <c r="D19" s="3"/>
      <c r="E19" s="3"/>
      <c r="F19" s="3"/>
      <c r="G19" s="3"/>
      <c r="H19" s="3"/>
      <c r="I19" s="3"/>
      <c r="J19" s="3"/>
      <c r="K19" s="3"/>
      <c r="L19" s="3"/>
      <c r="M19" s="3"/>
      <c r="N19" s="3"/>
      <c r="O19" s="3"/>
      <c r="P19" s="3"/>
      <c r="Q19" s="3"/>
      <c r="R19" s="3"/>
      <c r="S19" s="3"/>
      <c r="T19" s="3"/>
      <c r="U19" s="3"/>
      <c r="V19" s="3"/>
      <c r="W19" s="3"/>
    </row>
    <row r="20" spans="1:23" x14ac:dyDescent="0.3">
      <c r="A20" s="3"/>
      <c r="B20" s="3"/>
      <c r="C20" s="3"/>
      <c r="D20" s="3"/>
      <c r="E20" s="3"/>
      <c r="F20" s="3"/>
      <c r="G20" s="3"/>
      <c r="H20" s="3"/>
      <c r="I20" s="3"/>
      <c r="J20" s="3"/>
      <c r="K20" s="3"/>
      <c r="L20" s="3"/>
      <c r="M20" s="3"/>
      <c r="N20" s="3"/>
      <c r="O20" s="3"/>
      <c r="P20" s="3"/>
      <c r="Q20" s="3"/>
      <c r="R20" s="3"/>
      <c r="S20" s="3"/>
      <c r="T20" s="3"/>
      <c r="U20" s="3"/>
      <c r="V20" s="3"/>
      <c r="W20" s="3"/>
    </row>
    <row r="21" spans="1:23" x14ac:dyDescent="0.3">
      <c r="A21" s="3"/>
      <c r="B21" s="3"/>
      <c r="C21" s="3"/>
      <c r="D21" s="3"/>
      <c r="E21" s="3"/>
      <c r="F21" s="3"/>
      <c r="G21" s="3"/>
      <c r="H21" s="3"/>
      <c r="I21" s="3"/>
      <c r="J21" s="3"/>
      <c r="K21" s="3"/>
      <c r="L21" s="3"/>
      <c r="M21" s="3"/>
      <c r="N21" s="3"/>
      <c r="O21" s="3"/>
      <c r="P21" s="3"/>
      <c r="Q21" s="3"/>
      <c r="R21" s="3"/>
      <c r="S21" s="3"/>
      <c r="T21" s="3"/>
      <c r="U21" s="3"/>
      <c r="V21" s="3"/>
      <c r="W21" s="3"/>
    </row>
    <row r="22" spans="1:23" x14ac:dyDescent="0.3">
      <c r="A22" s="3"/>
      <c r="B22" s="3"/>
      <c r="C22" s="3"/>
      <c r="D22" s="3"/>
      <c r="E22" s="3"/>
      <c r="F22" s="3"/>
      <c r="G22" s="3"/>
      <c r="H22" s="3"/>
      <c r="I22" s="3"/>
      <c r="J22" s="3"/>
      <c r="K22" s="3"/>
      <c r="L22" s="3"/>
      <c r="M22" s="3"/>
      <c r="N22" s="3"/>
      <c r="O22" s="3"/>
      <c r="P22" s="3"/>
      <c r="Q22" s="3"/>
      <c r="R22" s="3"/>
      <c r="S22" s="3"/>
      <c r="T22" s="3"/>
      <c r="U22" s="3"/>
      <c r="V22" s="3"/>
      <c r="W22" s="3"/>
    </row>
    <row r="23" spans="1:23" x14ac:dyDescent="0.3">
      <c r="A23" s="3"/>
      <c r="B23" s="3"/>
      <c r="C23" s="3"/>
      <c r="D23" s="3"/>
      <c r="E23" s="3"/>
      <c r="F23" s="3"/>
      <c r="G23" s="3"/>
      <c r="H23" s="3"/>
      <c r="I23" s="3"/>
      <c r="J23" s="3"/>
      <c r="K23" s="3"/>
      <c r="L23" s="3"/>
      <c r="M23" s="3"/>
      <c r="N23" s="3"/>
      <c r="O23" s="3"/>
      <c r="P23" s="3"/>
      <c r="Q23" s="3"/>
      <c r="R23" s="3"/>
      <c r="S23" s="3"/>
      <c r="T23" s="3"/>
      <c r="U23" s="3"/>
      <c r="V23" s="3"/>
      <c r="W23" s="3"/>
    </row>
    <row r="24" spans="1:23" x14ac:dyDescent="0.3">
      <c r="A24" s="3"/>
      <c r="B24" s="3"/>
      <c r="C24" s="3"/>
      <c r="D24" s="3"/>
      <c r="E24" s="3"/>
      <c r="F24" s="3"/>
      <c r="G24" s="3"/>
      <c r="H24" s="3"/>
      <c r="I24" s="3"/>
      <c r="J24" s="3"/>
      <c r="K24" s="3"/>
      <c r="L24" s="3"/>
      <c r="M24" s="3"/>
      <c r="N24" s="3"/>
      <c r="O24" s="3"/>
      <c r="P24" s="3"/>
      <c r="Q24" s="3"/>
      <c r="R24" s="3"/>
      <c r="S24" s="3"/>
      <c r="T24" s="3"/>
      <c r="U24" s="3"/>
      <c r="V24" s="3"/>
      <c r="W24" s="3"/>
    </row>
    <row r="25" spans="1:23" x14ac:dyDescent="0.3">
      <c r="A25" s="3"/>
      <c r="B25" s="3"/>
      <c r="C25" s="3"/>
      <c r="D25" s="3"/>
      <c r="E25" s="3"/>
      <c r="F25" s="3"/>
      <c r="G25" s="3"/>
      <c r="H25" s="3"/>
      <c r="I25" s="3"/>
      <c r="J25" s="3"/>
      <c r="K25" s="3"/>
      <c r="L25" s="3"/>
      <c r="M25" s="3"/>
      <c r="N25" s="3"/>
      <c r="O25" s="3"/>
      <c r="P25" s="3"/>
      <c r="Q25" s="3"/>
      <c r="R25" s="3"/>
      <c r="S25" s="3"/>
      <c r="T25" s="3"/>
      <c r="U25" s="3"/>
      <c r="V25" s="3"/>
      <c r="W25" s="3"/>
    </row>
    <row r="26" spans="1:23" x14ac:dyDescent="0.3">
      <c r="A26" s="3"/>
      <c r="B26" s="3"/>
      <c r="C26" s="3"/>
      <c r="D26" s="3"/>
      <c r="E26" s="3"/>
      <c r="F26" s="3"/>
      <c r="G26" s="3"/>
      <c r="H26" s="3"/>
      <c r="I26" s="3"/>
      <c r="J26" s="3"/>
      <c r="K26" s="3"/>
      <c r="L26" s="3"/>
      <c r="M26" s="3"/>
      <c r="N26" s="3"/>
      <c r="O26" s="3"/>
      <c r="P26" s="3"/>
      <c r="Q26" s="3"/>
      <c r="R26" s="3"/>
      <c r="S26" s="3"/>
      <c r="T26" s="3"/>
      <c r="U26" s="3"/>
      <c r="V26" s="3"/>
      <c r="W26" s="3"/>
    </row>
    <row r="27" spans="1:23" x14ac:dyDescent="0.3">
      <c r="A27" s="3"/>
      <c r="B27" s="3"/>
      <c r="C27" s="3"/>
      <c r="D27" s="3"/>
      <c r="E27" s="3"/>
      <c r="F27" s="3"/>
      <c r="G27" s="3"/>
      <c r="H27" s="3"/>
      <c r="I27" s="3"/>
      <c r="J27" s="3"/>
      <c r="K27" s="3"/>
      <c r="L27" s="3"/>
      <c r="M27" s="3"/>
      <c r="N27" s="3"/>
      <c r="O27" s="3"/>
      <c r="P27" s="3"/>
      <c r="Q27" s="3"/>
      <c r="R27" s="3"/>
      <c r="S27" s="3"/>
      <c r="T27" s="3"/>
      <c r="U27" s="3"/>
      <c r="V27" s="3"/>
      <c r="W27" s="3"/>
    </row>
    <row r="28" spans="1:23" x14ac:dyDescent="0.3">
      <c r="A28" s="3"/>
      <c r="B28" s="3"/>
      <c r="C28" s="3"/>
      <c r="D28" s="3"/>
      <c r="E28" s="3"/>
      <c r="F28" s="3"/>
      <c r="G28" s="3"/>
      <c r="H28" s="3"/>
      <c r="I28" s="3"/>
      <c r="J28" s="3"/>
      <c r="K28" s="3"/>
      <c r="L28" s="3"/>
      <c r="M28" s="3"/>
      <c r="N28" s="3"/>
      <c r="O28" s="3"/>
      <c r="P28" s="3"/>
      <c r="Q28" s="3"/>
      <c r="R28" s="3"/>
      <c r="S28" s="3"/>
      <c r="T28" s="3"/>
      <c r="U28" s="3"/>
      <c r="V28" s="3"/>
      <c r="W28" s="3"/>
    </row>
    <row r="29" spans="1:23" x14ac:dyDescent="0.3">
      <c r="A29" s="3"/>
      <c r="B29" s="3"/>
      <c r="C29" s="3"/>
      <c r="D29" s="3"/>
      <c r="E29" s="3"/>
      <c r="F29" s="3"/>
      <c r="G29" s="3"/>
      <c r="H29" s="3"/>
      <c r="I29" s="3"/>
      <c r="J29" s="3"/>
      <c r="K29" s="3"/>
      <c r="L29" s="3"/>
      <c r="M29" s="3"/>
      <c r="N29" s="3"/>
      <c r="O29" s="3"/>
      <c r="P29" s="3"/>
      <c r="Q29" s="3"/>
      <c r="R29" s="3"/>
      <c r="S29" s="3"/>
      <c r="T29" s="3"/>
      <c r="U29" s="3"/>
      <c r="V29" s="3"/>
      <c r="W29" s="3"/>
    </row>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Props1.xml><?xml version="1.0" encoding="utf-8"?>
<ds:datastoreItem xmlns:ds="http://schemas.openxmlformats.org/officeDocument/2006/customXml" ds:itemID="{1974EBDD-0990-46FC-B2C7-B3A84E4004E7}">
  <ds:schemaRefs/>
</ds:datastoreItem>
</file>

<file path=customXml/itemProps2.xml><?xml version="1.0" encoding="utf-8"?>
<ds:datastoreItem xmlns:ds="http://schemas.openxmlformats.org/officeDocument/2006/customXml" ds:itemID="{6DD20D6B-A576-4D76-A704-ECE90738FA26}">
  <ds:schemaRefs/>
</ds:datastoreItem>
</file>

<file path=customXml/itemProps3.xml><?xml version="1.0" encoding="utf-8"?>
<ds:datastoreItem xmlns:ds="http://schemas.openxmlformats.org/officeDocument/2006/customXml" ds:itemID="{828869EF-C79B-4986-96B2-862DD11E853A}">
  <ds:schemaRefs/>
</ds:datastoreItem>
</file>

<file path=customXml/itemProps4.xml><?xml version="1.0" encoding="utf-8"?>
<ds:datastoreItem xmlns:ds="http://schemas.openxmlformats.org/officeDocument/2006/customXml" ds:itemID="{570826B7-12E6-4AC2-94F9-5BCB6AD9049B}">
  <ds:schemaRefs/>
</ds:datastoreItem>
</file>

<file path=customXml/itemProps5.xml><?xml version="1.0" encoding="utf-8"?>
<ds:datastoreItem xmlns:ds="http://schemas.openxmlformats.org/officeDocument/2006/customXml" ds:itemID="{A3637E05-D426-4CC4-88EC-B2FD20182B70}">
  <ds:schemaRefs/>
</ds:datastoreItem>
</file>

<file path=customXml/itemProps6.xml><?xml version="1.0" encoding="utf-8"?>
<ds:datastoreItem xmlns:ds="http://schemas.openxmlformats.org/officeDocument/2006/customXml" ds:itemID="{574046ED-0286-41DF-B691-EADB6D10B8C5}">
  <ds:schemaRefs>
    <ds:schemaRef ds:uri="http://schemas.microsoft.com/DataMashup"/>
  </ds:schemaRefs>
</ds:datastoreItem>
</file>

<file path=customXml/itemProps7.xml><?xml version="1.0" encoding="utf-8"?>
<ds:datastoreItem xmlns:ds="http://schemas.openxmlformats.org/officeDocument/2006/customXml" ds:itemID="{5C4BB289-7D37-4DDC-AF1F-91E6154D0FC9}">
  <ds:schemaRefs/>
</ds:datastoreItem>
</file>

<file path=customXml/itemProps8.xml><?xml version="1.0" encoding="utf-8"?>
<ds:datastoreItem xmlns:ds="http://schemas.openxmlformats.org/officeDocument/2006/customXml" ds:itemID="{549B456D-97C6-4502-9AE1-1AA9579AE5A4}">
  <ds:schemaRefs/>
</ds:datastoreItem>
</file>

<file path=customXml/itemProps9.xml><?xml version="1.0" encoding="utf-8"?>
<ds:datastoreItem xmlns:ds="http://schemas.openxmlformats.org/officeDocument/2006/customXml" ds:itemID="{BE361324-D0B4-430C-9503-93B317C620FC}">
  <ds:schemaRefs/>
</ds:datastoreItem>
</file>

<file path=customXml/itemProps10.xml><?xml version="1.0" encoding="utf-8"?>
<ds:datastoreItem xmlns:ds="http://schemas.openxmlformats.org/officeDocument/2006/customXml" ds:itemID="{EDD991CB-4B8A-42F9-B704-0582ACBD6947}">
  <ds:schemaRefs/>
</ds:datastoreItem>
</file>

<file path=customXml/itemProps11.xml><?xml version="1.0" encoding="utf-8"?>
<ds:datastoreItem xmlns:ds="http://schemas.openxmlformats.org/officeDocument/2006/customXml" ds:itemID="{1CC82B10-18B5-48ED-814B-603ABF43AD3C}">
  <ds:schemaRefs/>
</ds:datastoreItem>
</file>

<file path=customXml/itemProps12.xml><?xml version="1.0" encoding="utf-8"?>
<ds:datastoreItem xmlns:ds="http://schemas.openxmlformats.org/officeDocument/2006/customXml" ds:itemID="{602BA8B2-8E1F-4854-867B-FDE0A1761979}">
  <ds:schemaRefs/>
</ds:datastoreItem>
</file>

<file path=customXml/itemProps13.xml><?xml version="1.0" encoding="utf-8"?>
<ds:datastoreItem xmlns:ds="http://schemas.openxmlformats.org/officeDocument/2006/customXml" ds:itemID="{EED22B14-BF53-4297-B88C-5DE4C7C2C547}">
  <ds:schemaRefs/>
</ds:datastoreItem>
</file>

<file path=customXml/itemProps14.xml><?xml version="1.0" encoding="utf-8"?>
<ds:datastoreItem xmlns:ds="http://schemas.openxmlformats.org/officeDocument/2006/customXml" ds:itemID="{9B9AC302-162C-4CEB-BCCC-238946B44FB6}">
  <ds:schemaRefs/>
</ds:datastoreItem>
</file>

<file path=customXml/itemProps15.xml><?xml version="1.0" encoding="utf-8"?>
<ds:datastoreItem xmlns:ds="http://schemas.openxmlformats.org/officeDocument/2006/customXml" ds:itemID="{A1FB54D9-0C13-432F-B1B5-CF6BAC2FF06B}">
  <ds:schemaRefs/>
</ds:datastoreItem>
</file>

<file path=customXml/itemProps16.xml><?xml version="1.0" encoding="utf-8"?>
<ds:datastoreItem xmlns:ds="http://schemas.openxmlformats.org/officeDocument/2006/customXml" ds:itemID="{DE674BB6-9581-4FE2-A9B5-B7E52A8B729D}">
  <ds:schemaRefs/>
</ds:datastoreItem>
</file>

<file path=customXml/itemProps17.xml><?xml version="1.0" encoding="utf-8"?>
<ds:datastoreItem xmlns:ds="http://schemas.openxmlformats.org/officeDocument/2006/customXml" ds:itemID="{BF151015-FC7A-4A57-8A87-F797BB7D52FA}">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Pivot Report</vt:lpstr>
      <vt:lpstr>Dashboard</vt:lpstr>
      <vt:lpstr>Day ER No. of Patient</vt:lpstr>
      <vt:lpstr>Avg Wait Time</vt:lpstr>
      <vt:lpstr>Satisfaction Score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Anshu Singh</dc:creator>
  <cp:lastModifiedBy>Anshu Singh</cp:lastModifiedBy>
  <dcterms:created xsi:type="dcterms:W3CDTF">2026-01-31T09:23:49Z</dcterms:created>
  <dcterms:modified xsi:type="dcterms:W3CDTF">2026-02-01T14:17:37Z</dcterms:modified>
</cp:coreProperties>
</file>